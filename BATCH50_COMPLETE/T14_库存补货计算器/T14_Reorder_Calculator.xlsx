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Purchase_List" sheetId="2" state="visible" r:id="rId2"/>
    <sheet xmlns:r="http://schemas.openxmlformats.org/officeDocument/2006/relationships" name="Exception_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C5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SKU</t>
        </is>
      </c>
      <c r="B1" s="1" t="inlineStr">
        <is>
          <t>On_Hand</t>
        </is>
      </c>
      <c r="C1" s="1" t="inlineStr">
        <is>
          <t>Avg_Daily_Demand</t>
        </is>
      </c>
      <c r="D1" s="1" t="inlineStr">
        <is>
          <t>Lead_Time_Days</t>
        </is>
      </c>
      <c r="E1" s="1" t="inlineStr">
        <is>
          <t>Safety_Stock</t>
        </is>
      </c>
      <c r="F1" s="1" t="inlineStr">
        <is>
          <t>Open_PO</t>
        </is>
      </c>
      <c r="G1" s="1" t="inlineStr">
        <is>
          <t>Case_Pack</t>
        </is>
      </c>
      <c r="H1" s="1" t="inlineStr">
        <is>
          <t>ROP</t>
        </is>
      </c>
      <c r="I1" s="1" t="inlineStr">
        <is>
          <t>Available</t>
        </is>
      </c>
      <c r="J1" s="1" t="inlineStr">
        <is>
          <t>Trigger</t>
        </is>
      </c>
      <c r="K1" s="1" t="inlineStr">
        <is>
          <t>Target</t>
        </is>
      </c>
      <c r="L1" s="1" t="inlineStr">
        <is>
          <t>RawQty</t>
        </is>
      </c>
      <c r="M1" s="1" t="inlineStr">
        <is>
          <t>OrderQty</t>
        </is>
      </c>
    </row>
    <row r="2">
      <c r="A2" t="inlineStr">
        <is>
          <t>A</t>
        </is>
      </c>
      <c r="B2" t="n">
        <v>120</v>
      </c>
      <c r="C2" t="n">
        <v>8</v>
      </c>
      <c r="D2" t="n">
        <v>10</v>
      </c>
      <c r="E2" t="n">
        <v>40</v>
      </c>
      <c r="F2" t="n">
        <v>0</v>
      </c>
      <c r="G2" t="n">
        <v>20</v>
      </c>
      <c r="H2">
        <f>C2*D2+E2</f>
        <v/>
      </c>
      <c r="I2">
        <f>B2+F2</f>
        <v/>
      </c>
      <c r="J2">
        <f>IF(I2&lt;=H2,"YES","NO")</f>
        <v/>
      </c>
      <c r="K2">
        <f>C2*(D2+14)+E2</f>
        <v/>
      </c>
      <c r="L2">
        <f>MAX(0,K2-B2-F2)</f>
        <v/>
      </c>
      <c r="M2">
        <f>IF(J2="NO",0,IF(L2=0,0,CEILING(L2,G2)))</f>
        <v/>
      </c>
    </row>
    <row r="3">
      <c r="A3" t="inlineStr">
        <is>
          <t>B</t>
        </is>
      </c>
      <c r="B3" t="n">
        <v>500</v>
      </c>
      <c r="C3" t="n">
        <v>12</v>
      </c>
      <c r="D3" t="n">
        <v>7</v>
      </c>
      <c r="E3" t="n">
        <v>60</v>
      </c>
      <c r="F3" t="n">
        <v>100</v>
      </c>
      <c r="G3" t="n">
        <v>50</v>
      </c>
      <c r="H3">
        <f>C3*D3+E3</f>
        <v/>
      </c>
      <c r="I3">
        <f>B3+F3</f>
        <v/>
      </c>
      <c r="J3">
        <f>IF(I3&lt;=H3,"YES","NO")</f>
        <v/>
      </c>
      <c r="K3">
        <f>C3*(D3+14)+E3</f>
        <v/>
      </c>
      <c r="L3">
        <f>MAX(0,K3-B3-F3)</f>
        <v/>
      </c>
      <c r="M3">
        <f>IF(J3="NO",0,IF(L3=0,0,CEILING(L3,G3)))</f>
        <v/>
      </c>
    </row>
    <row r="4">
      <c r="A4" t="inlineStr">
        <is>
          <t>C</t>
        </is>
      </c>
      <c r="B4" t="n">
        <v>40</v>
      </c>
      <c r="C4" t="n">
        <v>5</v>
      </c>
      <c r="D4" t="n">
        <v>14</v>
      </c>
      <c r="E4" t="n">
        <v>25</v>
      </c>
      <c r="F4" t="n">
        <v>0</v>
      </c>
      <c r="G4" t="n">
        <v>10</v>
      </c>
      <c r="H4">
        <f>C4*D4+E4</f>
        <v/>
      </c>
      <c r="I4">
        <f>B4+F4</f>
        <v/>
      </c>
      <c r="J4">
        <f>IF(I4&lt;=H4,"YES","NO")</f>
        <v/>
      </c>
      <c r="K4">
        <f>C4*(D4+14)+E4</f>
        <v/>
      </c>
      <c r="L4">
        <f>MAX(0,K4-B4-F4)</f>
        <v/>
      </c>
      <c r="M4">
        <f>IF(J4="NO",0,IF(L4=0,0,CEILING(L4,G4)))</f>
        <v/>
      </c>
    </row>
    <row r="5">
      <c r="A5" t="inlineStr">
        <is>
          <t>D</t>
        </is>
      </c>
      <c r="B5" t="n">
        <v>200</v>
      </c>
      <c r="C5" t="n">
        <v>20</v>
      </c>
      <c r="D5" t="n">
        <v>5</v>
      </c>
      <c r="E5" t="n">
        <v>50</v>
      </c>
      <c r="F5" t="n">
        <v>0</v>
      </c>
      <c r="G5" t="n">
        <v>25</v>
      </c>
      <c r="H5">
        <f>C5*D5+E5</f>
        <v/>
      </c>
      <c r="I5">
        <f>B5+F5</f>
        <v/>
      </c>
      <c r="J5">
        <f>IF(I5&lt;=H5,"YES","NO")</f>
        <v/>
      </c>
      <c r="K5">
        <f>C5*(D5+14)+E5</f>
        <v/>
      </c>
      <c r="L5">
        <f>MAX(0,K5-B5-F5)</f>
        <v/>
      </c>
      <c r="M5">
        <f>IF(J5="NO",0,IF(L5=0,0,CEILING(L5,G5)))</f>
        <v/>
      </c>
    </row>
    <row r="6">
      <c r="A6" t="inlineStr">
        <is>
          <t>E</t>
        </is>
      </c>
      <c r="B6" t="n">
        <v>75</v>
      </c>
      <c r="C6" t="n">
        <v>4</v>
      </c>
      <c r="D6" t="n">
        <v>21</v>
      </c>
      <c r="E6" t="n">
        <v>30</v>
      </c>
      <c r="F6" t="n">
        <v>50</v>
      </c>
      <c r="G6" t="n">
        <v>10</v>
      </c>
      <c r="H6">
        <f>C6*D6+E6</f>
        <v/>
      </c>
      <c r="I6">
        <f>B6+F6</f>
        <v/>
      </c>
      <c r="J6">
        <f>IF(I6&lt;=H6,"YES","NO")</f>
        <v/>
      </c>
      <c r="K6">
        <f>C6*(D6+14)+E6</f>
        <v/>
      </c>
      <c r="L6">
        <f>MAX(0,K6-B6-F6)</f>
        <v/>
      </c>
      <c r="M6">
        <f>IF(J6="NO",0,IF(L6=0,0,CEILING(L6,G6)))</f>
        <v/>
      </c>
    </row>
    <row r="7">
      <c r="A7" t="inlineStr">
        <is>
          <t>F</t>
        </is>
      </c>
      <c r="B7" t="n">
        <v>0</v>
      </c>
      <c r="C7" t="n">
        <v>3</v>
      </c>
      <c r="D7" t="n">
        <v>30</v>
      </c>
      <c r="E7" t="n">
        <v>20</v>
      </c>
      <c r="F7" t="n">
        <v>30</v>
      </c>
      <c r="G7" t="n">
        <v>25</v>
      </c>
      <c r="H7">
        <f>C7*D7+E7</f>
        <v/>
      </c>
      <c r="I7">
        <f>B7+F7</f>
        <v/>
      </c>
      <c r="J7">
        <f>IF(I7&lt;=H7,"YES","NO")</f>
        <v/>
      </c>
      <c r="K7">
        <f>C7*(D7+14)+E7</f>
        <v/>
      </c>
      <c r="L7">
        <f>MAX(0,K7-B7-F7)</f>
        <v/>
      </c>
      <c r="M7">
        <f>IF(J7="NO",0,IF(L7=0,0,CEILING(L7,G7)))</f>
        <v/>
      </c>
    </row>
    <row r="8">
      <c r="A8" t="inlineStr">
        <is>
          <t>G</t>
        </is>
      </c>
      <c r="B8" t="n">
        <v>90</v>
      </c>
      <c r="C8" t="n">
        <v>6</v>
      </c>
      <c r="D8" t="n">
        <v>12</v>
      </c>
      <c r="E8" t="n">
        <v>36</v>
      </c>
      <c r="F8" t="n">
        <v>0</v>
      </c>
      <c r="G8" t="n">
        <v>12</v>
      </c>
      <c r="H8">
        <f>C8*D8+E8</f>
        <v/>
      </c>
      <c r="I8">
        <f>B8+F8</f>
        <v/>
      </c>
      <c r="J8">
        <f>IF(I8&lt;=H8,"YES","NO")</f>
        <v/>
      </c>
      <c r="K8">
        <f>C8*(D8+14)+E8</f>
        <v/>
      </c>
      <c r="L8">
        <f>MAX(0,K8-B8-F8)</f>
        <v/>
      </c>
      <c r="M8">
        <f>IF(J8="NO",0,IF(L8=0,0,CEILING(L8,G8)))</f>
        <v/>
      </c>
    </row>
    <row r="9">
      <c r="A9" t="inlineStr">
        <is>
          <t>H</t>
        </is>
      </c>
      <c r="B9" t="n">
        <v>1000</v>
      </c>
      <c r="C9" t="n">
        <v>25</v>
      </c>
      <c r="D9" t="n">
        <v>14</v>
      </c>
      <c r="E9" t="n">
        <v>100</v>
      </c>
      <c r="F9" t="n">
        <v>500</v>
      </c>
      <c r="G9" t="n">
        <v>100</v>
      </c>
      <c r="H9">
        <f>C9*D9+E9</f>
        <v/>
      </c>
      <c r="I9">
        <f>B9+F9</f>
        <v/>
      </c>
      <c r="J9">
        <f>IF(I9&lt;=H9,"YES","NO")</f>
        <v/>
      </c>
      <c r="K9">
        <f>C9*(D9+14)+E9</f>
        <v/>
      </c>
      <c r="L9">
        <f>MAX(0,K9-B9-F9)</f>
        <v/>
      </c>
      <c r="M9">
        <f>IF(J9="NO",0,IF(L9=0,0,CEILING(L9,G9)))</f>
        <v/>
      </c>
    </row>
    <row r="12">
      <c r="A12" t="inlineStr">
        <is>
          <t>ROP=AvgDaily*LeadTime+Safety. Trigger if OnHand+OpenPO &lt;= ROP. Target=Demand*(LT+14)+Safety. Order=CEILING to case pack only if triggered.</t>
        </is>
      </c>
    </row>
  </sheetData>
  <conditionalFormatting sqref="J2:J9">
    <cfRule type="expression" priority="1" dxfId="0">
      <formula>J2="YES"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</cols>
  <sheetData>
    <row r="1">
      <c r="A1" s="1" t="inlineStr">
        <is>
          <t>SKU</t>
        </is>
      </c>
      <c r="B1" s="1" t="inlineStr">
        <is>
          <t>OrderQty</t>
        </is>
      </c>
      <c r="C1" s="1" t="inlineStr">
        <is>
          <t>Cases</t>
        </is>
      </c>
      <c r="D1" s="1" t="inlineStr">
        <is>
          <t>Priority_Note</t>
        </is>
      </c>
    </row>
    <row r="2">
      <c r="A2">
        <f>IF(Inventory!J2="YES",Inventory!A2,"")</f>
        <v/>
      </c>
      <c r="B2">
        <f>IF(Inventory!J2="YES",Inventory!M2,"")</f>
        <v/>
      </c>
      <c r="C2">
        <f>IF(B2="","",B2/INDEX(Inventory!G:G,MATCH(A2,Inventory!A:A,0)))</f>
        <v/>
      </c>
      <c r="D2">
        <f>IF(A2="F","Highest stockout risk (OH=0)",IF(A2="","","Triggered"))</f>
        <v/>
      </c>
    </row>
    <row r="3">
      <c r="A3">
        <f>IF(Inventory!J3="YES",Inventory!A3,"")</f>
        <v/>
      </c>
      <c r="B3">
        <f>IF(Inventory!J3="YES",Inventory!M3,"")</f>
        <v/>
      </c>
      <c r="C3">
        <f>IF(B3="","",B3/INDEX(Inventory!G:G,MATCH(A3,Inventory!A:A,0)))</f>
        <v/>
      </c>
      <c r="D3">
        <f>IF(A3="F","Highest stockout risk (OH=0)",IF(A3="","","Triggered"))</f>
        <v/>
      </c>
    </row>
    <row r="4">
      <c r="A4">
        <f>IF(Inventory!J4="YES",Inventory!A4,"")</f>
        <v/>
      </c>
      <c r="B4">
        <f>IF(Inventory!J4="YES",Inventory!M4,"")</f>
        <v/>
      </c>
      <c r="C4">
        <f>IF(B4="","",B4/INDEX(Inventory!G:G,MATCH(A4,Inventory!A:A,0)))</f>
        <v/>
      </c>
      <c r="D4">
        <f>IF(A4="F","Highest stockout risk (OH=0)",IF(A4="","","Triggered"))</f>
        <v/>
      </c>
    </row>
    <row r="5">
      <c r="A5">
        <f>IF(Inventory!J5="YES",Inventory!A5,"")</f>
        <v/>
      </c>
      <c r="B5">
        <f>IF(Inventory!J5="YES",Inventory!M5,"")</f>
        <v/>
      </c>
      <c r="C5">
        <f>IF(B5="","",B5/INDEX(Inventory!G:G,MATCH(A5,Inventory!A:A,0)))</f>
        <v/>
      </c>
      <c r="D5">
        <f>IF(A5="F","Highest stockout risk (OH=0)",IF(A5="","","Triggered"))</f>
        <v/>
      </c>
    </row>
    <row r="6">
      <c r="A6">
        <f>IF(Inventory!J6="YES",Inventory!A6,"")</f>
        <v/>
      </c>
      <c r="B6">
        <f>IF(Inventory!J6="YES",Inventory!M6,"")</f>
        <v/>
      </c>
      <c r="C6">
        <f>IF(B6="","",B6/INDEX(Inventory!G:G,MATCH(A6,Inventory!A:A,0)))</f>
        <v/>
      </c>
      <c r="D6">
        <f>IF(A6="F","Highest stockout risk (OH=0)",IF(A6="","","Triggered"))</f>
        <v/>
      </c>
    </row>
    <row r="7">
      <c r="A7">
        <f>IF(Inventory!J7="YES",Inventory!A7,"")</f>
        <v/>
      </c>
      <c r="B7">
        <f>IF(Inventory!J7="YES",Inventory!M7,"")</f>
        <v/>
      </c>
      <c r="C7">
        <f>IF(B7="","",B7/INDEX(Inventory!G:G,MATCH(A7,Inventory!A:A,0)))</f>
        <v/>
      </c>
      <c r="D7">
        <f>IF(A7="F","Highest stockout risk (OH=0)",IF(A7="","","Triggered"))</f>
        <v/>
      </c>
    </row>
    <row r="8">
      <c r="A8">
        <f>IF(Inventory!J8="YES",Inventory!A8,"")</f>
        <v/>
      </c>
      <c r="B8">
        <f>IF(Inventory!J8="YES",Inventory!M8,"")</f>
        <v/>
      </c>
      <c r="C8">
        <f>IF(B8="","",B8/INDEX(Inventory!G:G,MATCH(A8,Inventory!A:A,0)))</f>
        <v/>
      </c>
      <c r="D8">
        <f>IF(A8="F","Highest stockout risk (OH=0)",IF(A8="","","Triggered"))</f>
        <v/>
      </c>
    </row>
    <row r="9">
      <c r="A9">
        <f>IF(Inventory!J9="YES",Inventory!A9,"")</f>
        <v/>
      </c>
      <c r="B9">
        <f>IF(Inventory!J9="YES",Inventory!M9,"")</f>
        <v/>
      </c>
      <c r="C9">
        <f>IF(B9="","",B9/INDEX(Inventory!G:G,MATCH(A9,Inventory!A:A,0)))</f>
        <v/>
      </c>
      <c r="D9">
        <f>IF(A9="F","Highest stockout risk (OH=0)",IF(A9="","","Triggered"))</f>
        <v/>
      </c>
    </row>
    <row r="11">
      <c r="A11" t="inlineStr">
        <is>
          <t>SKU count triggered</t>
        </is>
      </c>
      <c r="B11">
        <f>COUNTIF(Inventory!J2:J9,"YES")</f>
        <v/>
      </c>
    </row>
    <row r="12">
      <c r="A12" t="inlineStr">
        <is>
          <t>Units ordered</t>
        </is>
      </c>
      <c r="B12">
        <f>SUM(Inventory!M2:M9)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</cols>
  <sheetData>
    <row r="1">
      <c r="A1" s="1" t="inlineStr">
        <is>
          <t>Check</t>
        </is>
      </c>
      <c r="B1" s="1" t="inlineStr">
        <is>
          <t>SKU</t>
        </is>
      </c>
      <c r="C1" s="1" t="inlineStr">
        <is>
          <t>Result</t>
        </is>
      </c>
    </row>
    <row r="2">
      <c r="A2" t="inlineStr">
        <is>
          <t>On Hand = 0</t>
        </is>
      </c>
      <c r="B2" t="inlineStr">
        <is>
          <t>F</t>
        </is>
      </c>
      <c r="C2" t="inlineStr">
        <is>
          <t>Avail 30 &lt;= ROP 110; Open PO still far below ROP</t>
        </is>
      </c>
    </row>
    <row r="3">
      <c r="A3" t="inlineStr">
        <is>
          <t>Avail equals ROP</t>
        </is>
      </c>
      <c r="B3" t="inlineStr">
        <is>
          <t>A</t>
        </is>
      </c>
      <c r="C3" t="inlineStr">
        <is>
          <t>120=120 triggers because rule is &lt;=</t>
        </is>
      </c>
    </row>
    <row r="4">
      <c r="A4" t="inlineStr">
        <is>
          <t>Below target but not ROP</t>
        </is>
      </c>
      <c r="B4" t="inlineStr">
        <is>
          <t>D</t>
        </is>
      </c>
      <c r="C4" t="inlineStr">
        <is>
          <t>200&gt;150 ROP so do NOT order despite Target 430</t>
        </is>
      </c>
    </row>
    <row r="5">
      <c r="A5" t="inlineStr">
        <is>
          <t>Below target but not ROP</t>
        </is>
      </c>
      <c r="B5" t="inlineStr">
        <is>
          <t>E</t>
        </is>
      </c>
      <c r="C5" t="inlineStr">
        <is>
          <t>125&gt;114 ROP so do NOT order</t>
        </is>
      </c>
    </row>
    <row r="6">
      <c r="A6" t="inlineStr">
        <is>
          <t>Far above ROP</t>
        </is>
      </c>
      <c r="B6" t="inlineStr">
        <is>
          <t>B/H</t>
        </is>
      </c>
      <c r="C6" t="inlineStr">
        <is>
          <t>Do not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