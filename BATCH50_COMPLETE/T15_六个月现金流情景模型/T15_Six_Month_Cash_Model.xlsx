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Downside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F2C59"/>
      <sz val="14"/>
    </font>
  </fonts>
  <fills count="3">
    <fill>
      <patternFill/>
    </fill>
    <fill>
      <patternFill patternType="gray125"/>
    </fill>
    <fill>
      <patternFill patternType="solid">
        <fgColor rgb="000F2C5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Month-end cash vs 0.800 floor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'Dashboard'!$B$3:$G$3</f>
            </numRef>
          </cat>
          <val>
            <numRef>
              <f>'Dashboard'!$B$4:$G$4</f>
            </numRef>
          </val>
        </ser>
        <ser>
          <idx val="1"/>
          <order val="1"/>
          <tx>
            <strRef>
              <f>'Dashboard'!A5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'Dashboard'!$B$3:$G$3</f>
            </numRef>
          </cat>
          <val>
            <numRef>
              <f>'Dashboard'!$B$5:$G$5</f>
            </numRef>
          </val>
        </ser>
        <ser>
          <idx val="2"/>
          <order val="2"/>
          <tx>
            <strRef>
              <f>'Dashboard'!A6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'Dashboard'!$B$3:$G$3</f>
            </numRef>
          </cat>
          <val>
            <numRef>
              <f>'Dashboard'!$B$6:$G$6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CNY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Item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</row>
    <row r="2">
      <c r="A2" t="inlineStr">
        <is>
          <t>Base_Revenue</t>
        </is>
      </c>
      <c r="B2" s="2" t="n">
        <v>1.2</v>
      </c>
      <c r="C2" s="2" t="n">
        <v>1.3</v>
      </c>
      <c r="D2" s="2" t="n">
        <v>1.5</v>
      </c>
      <c r="E2" s="2" t="n">
        <v>1.4</v>
      </c>
      <c r="F2" s="2" t="n">
        <v>1.6</v>
      </c>
      <c r="G2" s="2" t="n">
        <v>1.8</v>
      </c>
    </row>
    <row r="3">
      <c r="A3" t="inlineStr">
        <is>
          <t>Downside_Factor</t>
        </is>
      </c>
      <c r="B3" s="2" t="n">
        <v>0.85</v>
      </c>
      <c r="C3" s="2" t="n">
        <v>0.85</v>
      </c>
      <c r="D3" s="2" t="n">
        <v>0.85</v>
      </c>
      <c r="E3" s="2" t="n">
        <v>0.85</v>
      </c>
      <c r="F3" s="2" t="n">
        <v>0.85</v>
      </c>
      <c r="G3" s="2" t="n">
        <v>0.85</v>
      </c>
    </row>
    <row r="4">
      <c r="A4" t="inlineStr">
        <is>
          <t>VC_Rate</t>
        </is>
      </c>
      <c r="B4" s="2" t="n">
        <v>0.32</v>
      </c>
    </row>
    <row r="5">
      <c r="A5" t="inlineStr">
        <is>
          <t>Fixed</t>
        </is>
      </c>
      <c r="B5" s="2" t="n">
        <v>0.75</v>
      </c>
      <c r="C5" s="2" t="n">
        <v>0.75</v>
      </c>
      <c r="D5" s="2" t="n">
        <v>0.75</v>
      </c>
      <c r="E5" s="2" t="n">
        <v>0.75</v>
      </c>
      <c r="F5" s="2" t="n">
        <v>0.75</v>
      </c>
      <c r="G5" s="2" t="n">
        <v>0.75</v>
      </c>
    </row>
    <row r="6">
      <c r="A6" t="inlineStr">
        <is>
          <t>Capex</t>
        </is>
      </c>
      <c r="B6" s="2" t="n">
        <v>0.2</v>
      </c>
      <c r="C6" s="2" t="n">
        <v>0</v>
      </c>
      <c r="D6" s="2" t="n">
        <v>0.5</v>
      </c>
      <c r="E6" s="2" t="n">
        <v>0</v>
      </c>
      <c r="F6" s="2" t="n">
        <v>0.3</v>
      </c>
      <c r="G6" s="2" t="n">
        <v>0</v>
      </c>
    </row>
    <row r="7">
      <c r="A7" t="inlineStr">
        <is>
          <t>Financing</t>
        </is>
      </c>
      <c r="B7" s="2" t="n">
        <v>0</v>
      </c>
      <c r="C7" s="2" t="n">
        <v>0.5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t="inlineStr">
        <is>
          <t>Opening_Cash_M1</t>
        </is>
      </c>
      <c r="B8" s="2" t="n">
        <v>2</v>
      </c>
    </row>
    <row r="9">
      <c r="A9" t="inlineStr">
        <is>
          <t>Min_Cash</t>
        </is>
      </c>
      <c r="B9" s="2" t="n">
        <v>0.8</v>
      </c>
    </row>
    <row r="10">
      <c r="A10" t="inlineStr">
        <is>
          <t>Downside_Revenue_M1</t>
        </is>
      </c>
      <c r="B10" s="2">
        <f>B2*B3</f>
        <v/>
      </c>
      <c r="C10" s="2">
        <f>C2*C3</f>
        <v/>
      </c>
      <c r="D10" s="2">
        <f>D2*D3</f>
        <v/>
      </c>
      <c r="E10" s="2">
        <f>E2*E3</f>
        <v/>
      </c>
      <c r="F10" s="2">
        <f>F2*F3</f>
        <v/>
      </c>
      <c r="G10" s="2">
        <f>G2*G3</f>
        <v/>
      </c>
    </row>
  </sheetData>
  <mergeCells count="1"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</row>
    <row r="2">
      <c r="A2" t="inlineStr">
        <is>
          <t>Opening</t>
        </is>
      </c>
      <c r="B2" s="2">
        <f>Assumptions!B8</f>
        <v/>
      </c>
      <c r="C2" s="2">
        <f>B8</f>
        <v/>
      </c>
      <c r="D2" s="2">
        <f>C8</f>
        <v/>
      </c>
      <c r="E2" s="2">
        <f>D8</f>
        <v/>
      </c>
      <c r="F2" s="2">
        <f>E8</f>
        <v/>
      </c>
      <c r="G2" s="2">
        <f>F8</f>
        <v/>
      </c>
    </row>
    <row r="3">
      <c r="A3" t="inlineStr">
        <is>
          <t>Revenue</t>
        </is>
      </c>
      <c r="B3" s="2">
        <f>Assumptions!B2</f>
        <v/>
      </c>
      <c r="C3" s="2">
        <f>Assumptions!C2</f>
        <v/>
      </c>
      <c r="D3" s="2">
        <f>Assumptions!D2</f>
        <v/>
      </c>
      <c r="E3" s="2">
        <f>Assumptions!E2</f>
        <v/>
      </c>
      <c r="F3" s="2">
        <f>Assumptions!F2</f>
        <v/>
      </c>
      <c r="G3" s="2">
        <f>Assumptions!G2</f>
        <v/>
      </c>
    </row>
    <row r="4">
      <c r="A4" t="inlineStr">
        <is>
          <t>VC</t>
        </is>
      </c>
      <c r="B4" s="2">
        <f>B3*Assumptions!$B$4</f>
        <v/>
      </c>
      <c r="C4" s="2">
        <f>C3*Assumptions!$B$4</f>
        <v/>
      </c>
      <c r="D4" s="2">
        <f>D3*Assumptions!$B$4</f>
        <v/>
      </c>
      <c r="E4" s="2">
        <f>E3*Assumptions!$B$4</f>
        <v/>
      </c>
      <c r="F4" s="2">
        <f>F3*Assumptions!$B$4</f>
        <v/>
      </c>
      <c r="G4" s="2">
        <f>G3*Assumptions!$B$4</f>
        <v/>
      </c>
    </row>
    <row r="5">
      <c r="A5" t="inlineStr">
        <is>
          <t>Fixed</t>
        </is>
      </c>
      <c r="B5" s="2">
        <f>Assumptions!B5</f>
        <v/>
      </c>
      <c r="C5" s="2">
        <f>Assumptions!C5</f>
        <v/>
      </c>
      <c r="D5" s="2">
        <f>Assumptions!D5</f>
        <v/>
      </c>
      <c r="E5" s="2">
        <f>Assumptions!E5</f>
        <v/>
      </c>
      <c r="F5" s="2">
        <f>Assumptions!F5</f>
        <v/>
      </c>
      <c r="G5" s="2">
        <f>Assumptions!G5</f>
        <v/>
      </c>
    </row>
    <row r="6">
      <c r="A6" t="inlineStr">
        <is>
          <t>Capex</t>
        </is>
      </c>
      <c r="B6" s="2">
        <f>Assumptions!B6</f>
        <v/>
      </c>
      <c r="C6" s="2">
        <f>Assumptions!C6</f>
        <v/>
      </c>
      <c r="D6" s="2">
        <f>Assumptions!D6</f>
        <v/>
      </c>
      <c r="E6" s="2">
        <f>Assumptions!E6</f>
        <v/>
      </c>
      <c r="F6" s="2">
        <f>Assumptions!F6</f>
        <v/>
      </c>
      <c r="G6" s="2">
        <f>Assumptions!G6</f>
        <v/>
      </c>
    </row>
    <row r="7">
      <c r="A7" t="inlineStr">
        <is>
          <t>Financing</t>
        </is>
      </c>
      <c r="B7" s="2">
        <f>Assumptions!B7</f>
        <v/>
      </c>
      <c r="C7" s="2">
        <f>Assumptions!C7</f>
        <v/>
      </c>
      <c r="D7" s="2">
        <f>Assumptions!D7</f>
        <v/>
      </c>
      <c r="E7" s="2">
        <f>Assumptions!E7</f>
        <v/>
      </c>
      <c r="F7" s="2">
        <f>Assumptions!F7</f>
        <v/>
      </c>
      <c r="G7" s="2">
        <f>Assumptions!G7</f>
        <v/>
      </c>
    </row>
    <row r="8">
      <c r="A8" t="inlineStr">
        <is>
          <t>Ending</t>
        </is>
      </c>
      <c r="B8" s="2">
        <f>B2+B3-B4-B5-B6+B7</f>
        <v/>
      </c>
      <c r="C8" s="2">
        <f>C2+C3-C4-C5-C6+C7</f>
        <v/>
      </c>
      <c r="D8" s="2">
        <f>D2+D3-D4-D5-D6+D7</f>
        <v/>
      </c>
      <c r="E8" s="2">
        <f>E2+E3-E4-E5-E6+E7</f>
        <v/>
      </c>
      <c r="F8" s="2">
        <f>F2+F3-F4-F5-F6+F7</f>
        <v/>
      </c>
      <c r="G8" s="2">
        <f>G2+G3-G4-G5-G6+G7</f>
        <v/>
      </c>
    </row>
    <row r="9">
      <c r="A9" t="inlineStr">
        <is>
          <t>vs_Min</t>
        </is>
      </c>
      <c r="B9">
        <f>IF(B8&gt;=Assumptions!$B$9,"OK","BREACH")</f>
        <v/>
      </c>
      <c r="C9">
        <f>IF(C8&gt;=Assumptions!$B$9,"OK","BREACH")</f>
        <v/>
      </c>
      <c r="D9">
        <f>IF(D8&gt;=Assumptions!$B$9,"OK","BREACH")</f>
        <v/>
      </c>
      <c r="E9">
        <f>IF(E8&gt;=Assumptions!$B$9,"OK","BREACH")</f>
        <v/>
      </c>
      <c r="F9">
        <f>IF(F8&gt;=Assumptions!$B$9,"OK","BREACH")</f>
        <v/>
      </c>
      <c r="G9">
        <f>IF(G8&gt;=Assumptions!$B$9,"OK","BREACH")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</row>
    <row r="2">
      <c r="A2" t="inlineStr">
        <is>
          <t>Opening</t>
        </is>
      </c>
      <c r="B2" s="2">
        <f>Assumptions!B8</f>
        <v/>
      </c>
      <c r="C2" s="2">
        <f>B8</f>
        <v/>
      </c>
      <c r="D2" s="2">
        <f>C8</f>
        <v/>
      </c>
      <c r="E2" s="2">
        <f>D8</f>
        <v/>
      </c>
      <c r="F2" s="2">
        <f>E8</f>
        <v/>
      </c>
      <c r="G2" s="2">
        <f>F8</f>
        <v/>
      </c>
    </row>
    <row r="3">
      <c r="A3" t="inlineStr">
        <is>
          <t>Revenue</t>
        </is>
      </c>
      <c r="B3" s="2">
        <f>Assumptions!B10</f>
        <v/>
      </c>
      <c r="C3" s="2">
        <f>Assumptions!C10</f>
        <v/>
      </c>
      <c r="D3" s="2">
        <f>Assumptions!D10</f>
        <v/>
      </c>
      <c r="E3" s="2">
        <f>Assumptions!E10</f>
        <v/>
      </c>
      <c r="F3" s="2">
        <f>Assumptions!F10</f>
        <v/>
      </c>
      <c r="G3" s="2">
        <f>Assumptions!G10</f>
        <v/>
      </c>
    </row>
    <row r="4">
      <c r="A4" t="inlineStr">
        <is>
          <t>VC</t>
        </is>
      </c>
      <c r="B4" s="2">
        <f>B3*Assumptions!$B$4</f>
        <v/>
      </c>
      <c r="C4" s="2">
        <f>C3*Assumptions!$B$4</f>
        <v/>
      </c>
      <c r="D4" s="2">
        <f>D3*Assumptions!$B$4</f>
        <v/>
      </c>
      <c r="E4" s="2">
        <f>E3*Assumptions!$B$4</f>
        <v/>
      </c>
      <c r="F4" s="2">
        <f>F3*Assumptions!$B$4</f>
        <v/>
      </c>
      <c r="G4" s="2">
        <f>G3*Assumptions!$B$4</f>
        <v/>
      </c>
    </row>
    <row r="5">
      <c r="A5" t="inlineStr">
        <is>
          <t>Fixed</t>
        </is>
      </c>
      <c r="B5" s="2">
        <f>Assumptions!B5</f>
        <v/>
      </c>
      <c r="C5" s="2">
        <f>Assumptions!C5</f>
        <v/>
      </c>
      <c r="D5" s="2">
        <f>Assumptions!D5</f>
        <v/>
      </c>
      <c r="E5" s="2">
        <f>Assumptions!E5</f>
        <v/>
      </c>
      <c r="F5" s="2">
        <f>Assumptions!F5</f>
        <v/>
      </c>
      <c r="G5" s="2">
        <f>Assumptions!G5</f>
        <v/>
      </c>
    </row>
    <row r="6">
      <c r="A6" t="inlineStr">
        <is>
          <t>Capex</t>
        </is>
      </c>
      <c r="B6" s="2">
        <f>Assumptions!B6</f>
        <v/>
      </c>
      <c r="C6" s="2">
        <f>Assumptions!C6</f>
        <v/>
      </c>
      <c r="D6" s="2">
        <f>Assumptions!D6</f>
        <v/>
      </c>
      <c r="E6" s="2">
        <f>Assumptions!E6</f>
        <v/>
      </c>
      <c r="F6" s="2">
        <f>Assumptions!F6</f>
        <v/>
      </c>
      <c r="G6" s="2">
        <f>Assumptions!G6</f>
        <v/>
      </c>
    </row>
    <row r="7">
      <c r="A7" t="inlineStr">
        <is>
          <t>Financing</t>
        </is>
      </c>
      <c r="B7" s="2">
        <f>Assumptions!B7</f>
        <v/>
      </c>
      <c r="C7" s="2">
        <f>Assumptions!C7</f>
        <v/>
      </c>
      <c r="D7" s="2">
        <f>Assumptions!D7</f>
        <v/>
      </c>
      <c r="E7" s="2">
        <f>Assumptions!E7</f>
        <v/>
      </c>
      <c r="F7" s="2">
        <f>Assumptions!F7</f>
        <v/>
      </c>
      <c r="G7" s="2">
        <f>Assumptions!G7</f>
        <v/>
      </c>
    </row>
    <row r="8">
      <c r="A8" t="inlineStr">
        <is>
          <t>Ending</t>
        </is>
      </c>
      <c r="B8" s="2">
        <f>B2+B3-B4-B5-B6+B7</f>
        <v/>
      </c>
      <c r="C8" s="2">
        <f>C2+C3-C4-C5-C6+C7</f>
        <v/>
      </c>
      <c r="D8" s="2">
        <f>D2+D3-D4-D5-D6+D7</f>
        <v/>
      </c>
      <c r="E8" s="2">
        <f>E2+E3-E4-E5-E6+E7</f>
        <v/>
      </c>
      <c r="F8" s="2">
        <f>F2+F3-F4-F5-F6+F7</f>
        <v/>
      </c>
      <c r="G8" s="2">
        <f>G2+G3-G4-G5-G6+G7</f>
        <v/>
      </c>
    </row>
    <row r="9">
      <c r="A9" t="inlineStr">
        <is>
          <t>vs_Min</t>
        </is>
      </c>
      <c r="B9">
        <f>IF(B8&gt;=Assumptions!$B$9,"OK","BREACH")</f>
        <v/>
      </c>
      <c r="C9">
        <f>IF(C8&gt;=Assumptions!$B$9,"OK","BREACH")</f>
        <v/>
      </c>
      <c r="D9">
        <f>IF(D8&gt;=Assumptions!$B$9,"OK","BREACH")</f>
        <v/>
      </c>
      <c r="E9">
        <f>IF(E8&gt;=Assumptions!$B$9,"OK","BREACH")</f>
        <v/>
      </c>
      <c r="F9">
        <f>IF(F8&gt;=Assumptions!$B$9,"OK","BREACH")</f>
        <v/>
      </c>
      <c r="G9">
        <f>IF(G8&gt;=Assumptions!$B$9,"OK","BREACH")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Six-month cash dashboard</t>
        </is>
      </c>
    </row>
    <row r="3">
      <c r="A3" t="inlineStr">
        <is>
          <t>Month</t>
        </is>
      </c>
      <c r="B3" t="inlineStr">
        <is>
          <t>M1</t>
        </is>
      </c>
      <c r="C3" t="inlineStr">
        <is>
          <t>M2</t>
        </is>
      </c>
      <c r="D3" t="inlineStr">
        <is>
          <t>M3</t>
        </is>
      </c>
      <c r="E3" t="inlineStr">
        <is>
          <t>M4</t>
        </is>
      </c>
      <c r="F3" t="inlineStr">
        <is>
          <t>M5</t>
        </is>
      </c>
      <c r="G3" t="inlineStr">
        <is>
          <t>M6</t>
        </is>
      </c>
    </row>
    <row r="4">
      <c r="A4" t="inlineStr">
        <is>
          <t>Base_Ending</t>
        </is>
      </c>
      <c r="B4" s="2">
        <f>Base!B8</f>
        <v/>
      </c>
      <c r="C4" s="2">
        <f>Base!C8</f>
        <v/>
      </c>
      <c r="D4" s="2">
        <f>Base!D8</f>
        <v/>
      </c>
      <c r="E4" s="2">
        <f>Base!E8</f>
        <v/>
      </c>
      <c r="F4" s="2">
        <f>Base!F8</f>
        <v/>
      </c>
      <c r="G4" s="2">
        <f>Base!G8</f>
        <v/>
      </c>
    </row>
    <row r="5">
      <c r="A5" t="inlineStr">
        <is>
          <t>Downside_Ending</t>
        </is>
      </c>
      <c r="B5" s="2">
        <f>Downside!B8</f>
        <v/>
      </c>
      <c r="C5" s="2">
        <f>Downside!C8</f>
        <v/>
      </c>
      <c r="D5" s="2">
        <f>Downside!D8</f>
        <v/>
      </c>
      <c r="E5" s="2">
        <f>Downside!E8</f>
        <v/>
      </c>
      <c r="F5" s="2">
        <f>Downside!F8</f>
        <v/>
      </c>
      <c r="G5" s="2">
        <f>Downside!G8</f>
        <v/>
      </c>
    </row>
    <row r="6">
      <c r="A6" t="inlineStr">
        <is>
          <t>Min_Cash</t>
        </is>
      </c>
      <c r="B6" s="2">
        <f>Assumptions!$B$9</f>
        <v/>
      </c>
      <c r="C6" s="2">
        <f>Assumptions!$B$9</f>
        <v/>
      </c>
      <c r="D6" s="2">
        <f>Assumptions!$B$9</f>
        <v/>
      </c>
      <c r="E6" s="2">
        <f>Assumptions!$B$9</f>
        <v/>
      </c>
      <c r="F6" s="2">
        <f>Assumptions!$B$9</f>
        <v/>
      </c>
      <c r="G6" s="2">
        <f>Assumptions!$B$9</f>
        <v/>
      </c>
    </row>
    <row r="8">
      <c r="A8" t="inlineStr">
        <is>
          <t>Base_M6</t>
        </is>
      </c>
      <c r="B8">
        <f>Base!G8</f>
        <v/>
      </c>
    </row>
    <row r="9">
      <c r="A9" t="inlineStr">
        <is>
          <t>Downside_M6</t>
        </is>
      </c>
      <c r="B9">
        <f>Downside!G8</f>
        <v/>
      </c>
    </row>
    <row r="10">
      <c r="A10" t="inlineStr">
        <is>
          <t>Tightest_Base</t>
        </is>
      </c>
      <c r="B10">
        <f>MIN(B4:G4)</f>
        <v/>
      </c>
    </row>
    <row r="11">
      <c r="A11" t="inlineStr">
        <is>
          <t>Tightest_Downside</t>
        </is>
      </c>
      <c r="B11">
        <f>MIN(B5:G5)</f>
        <v/>
      </c>
    </row>
    <row r="12">
      <c r="A12" t="inlineStr">
        <is>
          <t>Any_breach</t>
        </is>
      </c>
      <c r="B12">
        <f>IF(OR(COUNTIF(Base!B9:G9,"BREACH")&gt;0,COUNTIF(Downside!B9:G9,"BREACH")&gt;0),"YES","NO")</f>
        <v/>
      </c>
    </row>
    <row r="14">
      <c r="A14" t="inlineStr">
        <is>
          <t>Both scenarios stay above 0.800. Tightest downside months are M1 and M5. M2 financing 0.500 is a key injection in both cases.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2026-08-13T10:55:39Z</dcterms:created>
  <dcterms:modified xmlns:dcterms="http://purl.org/dc/terms/" xmlns:xsi="http://www.w3.org/2001/XMLSchema-instance" xsi:type="dcterms:W3CDTF">2026-08-13T10:55:39Z</dcterms:modified>
</cp:coreProperties>
</file>