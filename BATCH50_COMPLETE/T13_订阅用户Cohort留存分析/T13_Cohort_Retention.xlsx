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Weighted" sheetId="3" state="visible" r:id="rId3"/>
    <sheet xmlns:r="http://schemas.openxmlformats.org/officeDocument/2006/relationships" name="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retention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'Weighted'!D1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'Weighted'!$A$2:$A$6</f>
            </numRef>
          </cat>
          <val>
            <numRef>
              <f>'Weighted'!$D$2:$D$6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Cohort</t>
        </is>
      </c>
      <c r="B1" s="1" t="inlineStr">
        <is>
          <t>Signups_M0</t>
        </is>
      </c>
      <c r="C1" s="1" t="inlineStr">
        <is>
          <t>M1_Active</t>
        </is>
      </c>
      <c r="D1" s="1" t="inlineStr">
        <is>
          <t>M2_Active</t>
        </is>
      </c>
      <c r="E1" s="1" t="inlineStr">
        <is>
          <t>M3_Active</t>
        </is>
      </c>
      <c r="F1" s="1" t="inlineStr">
        <is>
          <t>M4_Active</t>
        </is>
      </c>
    </row>
    <row r="2">
      <c r="A2" t="inlineStr">
        <is>
          <t>2026-Jan</t>
        </is>
      </c>
      <c r="B2" t="n">
        <v>1000</v>
      </c>
      <c r="C2" t="n">
        <v>720</v>
      </c>
      <c r="D2" t="n">
        <v>610</v>
      </c>
      <c r="E2" t="n">
        <v>550</v>
      </c>
      <c r="F2" t="n">
        <v>500</v>
      </c>
    </row>
    <row r="3">
      <c r="A3" t="inlineStr">
        <is>
          <t>2026-Feb</t>
        </is>
      </c>
      <c r="B3" t="n">
        <v>1200</v>
      </c>
      <c r="C3" t="n">
        <v>840</v>
      </c>
      <c r="D3" t="n">
        <v>690</v>
      </c>
      <c r="E3" t="n">
        <v>600</v>
      </c>
    </row>
    <row r="4">
      <c r="A4" t="inlineStr">
        <is>
          <t>2026-Mar</t>
        </is>
      </c>
      <c r="B4" t="n">
        <v>900</v>
      </c>
      <c r="C4" t="n">
        <v>630</v>
      </c>
      <c r="D4" t="n">
        <v>520</v>
      </c>
    </row>
    <row r="5">
      <c r="A5" t="inlineStr">
        <is>
          <t>2026-Apr</t>
        </is>
      </c>
      <c r="B5" t="n">
        <v>1100</v>
      </c>
      <c r="C5" t="n">
        <v>770</v>
      </c>
    </row>
    <row r="7">
      <c r="A7" t="inlineStr">
        <is>
          <t>Unobserved months MUST remain blank, never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Cohort</t>
        </is>
      </c>
      <c r="B1" s="1" t="inlineStr">
        <is>
          <t>N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</row>
    <row r="2">
      <c r="A2">
        <f>Input!A2</f>
        <v/>
      </c>
      <c r="B2">
        <f>Input!B2</f>
        <v/>
      </c>
      <c r="C2" s="2" t="n">
        <v>1</v>
      </c>
      <c r="D2" s="2">
        <f>IF(Input!C2="","",Input!C2/$B2)</f>
        <v/>
      </c>
      <c r="E2" s="2">
        <f>IF(Input!D2="","",Input!D2/$B2)</f>
        <v/>
      </c>
      <c r="F2" s="2">
        <f>IF(Input!E2="","",Input!E2/$B2)</f>
        <v/>
      </c>
      <c r="G2" s="2">
        <f>IF(Input!F2="","",Input!F2/$B2)</f>
        <v/>
      </c>
    </row>
    <row r="3">
      <c r="A3">
        <f>Input!A3</f>
        <v/>
      </c>
      <c r="B3">
        <f>Input!B3</f>
        <v/>
      </c>
      <c r="C3" s="2" t="n">
        <v>1</v>
      </c>
      <c r="D3" s="2">
        <f>IF(Input!C3="","",Input!C3/$B3)</f>
        <v/>
      </c>
      <c r="E3" s="2">
        <f>IF(Input!D3="","",Input!D3/$B3)</f>
        <v/>
      </c>
      <c r="F3" s="2">
        <f>IF(Input!E3="","",Input!E3/$B3)</f>
        <v/>
      </c>
      <c r="G3" s="2">
        <f>IF(Input!F3="","",Input!F3/$B3)</f>
        <v/>
      </c>
    </row>
    <row r="4">
      <c r="A4">
        <f>Input!A4</f>
        <v/>
      </c>
      <c r="B4">
        <f>Input!B4</f>
        <v/>
      </c>
      <c r="C4" s="2" t="n">
        <v>1</v>
      </c>
      <c r="D4" s="2">
        <f>IF(Input!C4="","",Input!C4/$B4)</f>
        <v/>
      </c>
      <c r="E4" s="2">
        <f>IF(Input!D4="","",Input!D4/$B4)</f>
        <v/>
      </c>
      <c r="F4" s="2">
        <f>IF(Input!E4="","",Input!E4/$B4)</f>
        <v/>
      </c>
      <c r="G4" s="2">
        <f>IF(Input!F4="","",Input!F4/$B4)</f>
        <v/>
      </c>
    </row>
    <row r="5">
      <c r="A5">
        <f>Input!A5</f>
        <v/>
      </c>
      <c r="B5">
        <f>Input!B5</f>
        <v/>
      </c>
      <c r="C5" s="2" t="n">
        <v>1</v>
      </c>
      <c r="D5" s="2">
        <f>IF(Input!C5="","",Input!C5/$B5)</f>
        <v/>
      </c>
      <c r="E5" s="2">
        <f>IF(Input!D5="","",Input!D5/$B5)</f>
        <v/>
      </c>
      <c r="F5" s="2">
        <f>IF(Input!E5="","",Input!E5/$B5)</f>
        <v/>
      </c>
      <c r="G5" s="2">
        <f>IF(Input!F5="","",Input!F5/$B5)</f>
        <v/>
      </c>
    </row>
  </sheetData>
  <conditionalFormatting sqref="D2:G5">
    <cfRule type="colorScale" priority="1">
      <colorScale>
        <cfvo type="num" val="0.5"/>
        <cfvo type="num" val="0.65"/>
        <cfvo type="num" val="0.7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36" customWidth="1" min="5" max="5"/>
  </cols>
  <sheetData>
    <row r="1">
      <c r="A1" s="1" t="inlineStr">
        <is>
          <t>Month</t>
        </is>
      </c>
      <c r="B1" s="1" t="inlineStr">
        <is>
          <t>Active_Sum</t>
        </is>
      </c>
      <c r="C1" s="1" t="inlineStr">
        <is>
          <t>N_Sum</t>
        </is>
      </c>
      <c r="D1" s="1" t="inlineStr">
        <is>
          <t>Weighted_Retention</t>
        </is>
      </c>
      <c r="E1" s="1" t="inlineStr">
        <is>
          <t>Cohorts_Included</t>
        </is>
      </c>
    </row>
    <row r="2">
      <c r="A2" t="inlineStr">
        <is>
          <t>M0</t>
        </is>
      </c>
      <c r="B2">
        <f>SUM(Input!B2:B5)</f>
        <v/>
      </c>
      <c r="C2">
        <f>SUM(Input!B2:B5)</f>
        <v/>
      </c>
      <c r="D2" s="3">
        <f>B2/C2</f>
        <v/>
      </c>
      <c r="E2" t="inlineStr">
        <is>
          <t>Jan-Apr</t>
        </is>
      </c>
    </row>
    <row r="3">
      <c r="A3" t="inlineStr">
        <is>
          <t>M1</t>
        </is>
      </c>
      <c r="B3">
        <f>SUM(Input!C2:C5)</f>
        <v/>
      </c>
      <c r="C3">
        <f>SUM(Input!B2:B5)</f>
        <v/>
      </c>
      <c r="D3" s="3">
        <f>B3/C3</f>
        <v/>
      </c>
      <c r="E3" t="inlineStr">
        <is>
          <t>Jan-Apr</t>
        </is>
      </c>
    </row>
    <row r="4">
      <c r="A4" t="inlineStr">
        <is>
          <t>M2</t>
        </is>
      </c>
      <c r="B4">
        <f>SUM(Input!D2:D4)</f>
        <v/>
      </c>
      <c r="C4">
        <f>SUM(Input!B2:B4)</f>
        <v/>
      </c>
      <c r="D4" s="3">
        <f>B4/C4</f>
        <v/>
      </c>
      <c r="E4" t="inlineStr">
        <is>
          <t>Jan-Mar (Apr blank, excluded)</t>
        </is>
      </c>
    </row>
    <row r="5">
      <c r="A5" t="inlineStr">
        <is>
          <t>M3</t>
        </is>
      </c>
      <c r="B5">
        <f>SUM(Input!E2:E3)</f>
        <v/>
      </c>
      <c r="C5">
        <f>SUM(Input!B2:B3)</f>
        <v/>
      </c>
      <c r="D5" s="3">
        <f>B5/C5</f>
        <v/>
      </c>
      <c r="E5" t="inlineStr">
        <is>
          <t>Jan-Feb</t>
        </is>
      </c>
    </row>
    <row r="6">
      <c r="A6" t="inlineStr">
        <is>
          <t>M4</t>
        </is>
      </c>
      <c r="B6">
        <f>Input!F2</f>
        <v/>
      </c>
      <c r="C6">
        <f>Input!B2</f>
        <v/>
      </c>
      <c r="D6" s="3">
        <f>B6/C6</f>
        <v/>
      </c>
      <c r="E6" t="inlineStr">
        <is>
          <t>Jan only</t>
        </is>
      </c>
    </row>
    <row r="8">
      <c r="A8" t="inlineStr">
        <is>
          <t>Do NOT simple-average percentages. Weighted = sum of actives / sum of signups for available cohorts only.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结论（≤250字）</t>
        </is>
      </c>
    </row>
    <row r="3" ht="90" customHeight="1">
      <c r="A3" s="5" t="inlineStr">
        <is>
          <t>M1 留存：Jan 72%，其后三个 cohort 均为 70%，没有出现引导上线后 M1 改善。2 月 15 日新手引导对 Feb 只覆盖半个月，Mar/Apr 应更充分暴露，但 M1 仍为 70%，低于 Jan。M2：Jan 61.0% vs Feb 57.5%、Mar 57.8%，后期队列更差。3 月 10 日折扣 30%→15% 与 Mar 部分、Apr 全部暴露同期，但无实验、无用户级控制，不能把留存走弱归因于引导无效或折扣下调。目前只能描述：新队列 M1/M2 弱于 Jan，趋势不支持“引导已改善留存”的管理叙事。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