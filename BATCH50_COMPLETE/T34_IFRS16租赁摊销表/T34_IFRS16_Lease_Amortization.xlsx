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Annua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2C5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Excel / note</t>
        </is>
      </c>
    </row>
    <row r="2">
      <c r="A2" t="inlineStr">
        <is>
          <t>Start</t>
        </is>
      </c>
      <c r="B2" t="inlineStr">
        <is>
          <t>2027-01-01</t>
        </is>
      </c>
      <c r="C2" t="inlineStr">
        <is>
          <t>Month-end payments</t>
        </is>
      </c>
    </row>
    <row r="3">
      <c r="A3" t="inlineStr">
        <is>
          <t>N</t>
        </is>
      </c>
      <c r="B3" t="n">
        <v>24</v>
      </c>
      <c r="C3" t="inlineStr">
        <is>
          <t>periods</t>
        </is>
      </c>
    </row>
    <row r="4">
      <c r="A4" t="inlineStr">
        <is>
          <t>Payment</t>
        </is>
      </c>
      <c r="B4" t="n">
        <v>100000</v>
      </c>
      <c r="C4" t="inlineStr">
        <is>
          <t>in arrears</t>
        </is>
      </c>
    </row>
    <row r="5">
      <c r="A5" t="inlineStr">
        <is>
          <t>Annual_rate</t>
        </is>
      </c>
      <c r="B5" s="2" t="n">
        <v>0.06</v>
      </c>
      <c r="C5" t="inlineStr">
        <is>
          <t>effective annual</t>
        </is>
      </c>
    </row>
    <row r="6">
      <c r="A6" t="inlineStr">
        <is>
          <t>Monthly_r</t>
        </is>
      </c>
      <c r="B6" s="3">
        <f>(1+B5)^(1/12)-1</f>
        <v/>
      </c>
      <c r="C6">
        <f>(1+6%)^(1/12)-1</f>
        <v/>
      </c>
    </row>
    <row r="7">
      <c r="A7" t="inlineStr">
        <is>
          <t>Initial_liability</t>
        </is>
      </c>
      <c r="B7" s="4">
        <f>B4*(1-(1+B6)^-B3)/B6</f>
        <v/>
      </c>
      <c r="C7" t="inlineStr">
        <is>
          <t>PV ordinary annuity</t>
        </is>
      </c>
    </row>
    <row r="8">
      <c r="A8" t="inlineStr">
        <is>
          <t>ROU_initial</t>
        </is>
      </c>
      <c r="B8" s="4">
        <f>B7</f>
        <v/>
      </c>
      <c r="C8" t="inlineStr">
        <is>
          <t>equals liability</t>
        </is>
      </c>
    </row>
    <row r="9">
      <c r="A9" t="inlineStr">
        <is>
          <t>Monthly_dep</t>
        </is>
      </c>
      <c r="B9" s="4">
        <f>B8/B3</f>
        <v/>
      </c>
      <c r="C9" t="inlineStr">
        <is>
          <t>straight line</t>
        </is>
      </c>
    </row>
    <row r="10">
      <c r="A10" t="inlineStr">
        <is>
          <t>Display_round</t>
        </is>
      </c>
      <c r="B10" t="inlineStr">
        <is>
          <t>Yuan; keep precision in formulas</t>
        </is>
      </c>
      <c r="C10" t="inlineStr">
        <is>
          <t>do not chain rounded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2" customWidth="1" min="4" max="4"/>
    <col width="14" customWidth="1" min="5" max="5"/>
    <col width="20" customWidth="1" min="6" max="6"/>
    <col width="18" customWidth="1" min="7" max="7"/>
    <col width="10" customWidth="1" min="8" max="8"/>
  </cols>
  <sheetData>
    <row r="1">
      <c r="A1" s="1" t="inlineStr">
        <is>
          <t>Month</t>
        </is>
      </c>
      <c r="B1" s="1" t="inlineStr">
        <is>
          <t>Opening_Liability</t>
        </is>
      </c>
      <c r="C1" s="1" t="inlineStr">
        <is>
          <t>Interest</t>
        </is>
      </c>
      <c r="D1" s="1" t="inlineStr">
        <is>
          <t>Payment</t>
        </is>
      </c>
      <c r="E1" s="1" t="inlineStr">
        <is>
          <t>Principal</t>
        </is>
      </c>
      <c r="F1" s="1" t="inlineStr">
        <is>
          <t>Closing_Liability</t>
        </is>
      </c>
      <c r="G1" s="1" t="inlineStr">
        <is>
          <t>ROU_Depreciation</t>
        </is>
      </c>
      <c r="H1" s="1" t="inlineStr">
        <is>
          <t>Year</t>
        </is>
      </c>
    </row>
    <row r="2">
      <c r="A2" t="n">
        <v>1</v>
      </c>
      <c r="B2" s="4">
        <f>Assumptions!B7</f>
        <v/>
      </c>
      <c r="C2" s="4">
        <f>B2*Assumptions!$B$6</f>
        <v/>
      </c>
      <c r="D2" s="4">
        <f>Assumptions!$B$4</f>
        <v/>
      </c>
      <c r="E2" s="4">
        <f>D2-C2</f>
        <v/>
      </c>
      <c r="F2" s="4">
        <f>B2+C2-D2</f>
        <v/>
      </c>
      <c r="G2" s="4">
        <f>Assumptions!$B$9</f>
        <v/>
      </c>
      <c r="H2" t="n">
        <v>2027</v>
      </c>
    </row>
    <row r="3">
      <c r="A3" t="n">
        <v>2</v>
      </c>
      <c r="B3" s="4">
        <f>F2</f>
        <v/>
      </c>
      <c r="C3" s="4">
        <f>B3*Assumptions!$B$6</f>
        <v/>
      </c>
      <c r="D3" s="4">
        <f>Assumptions!$B$4</f>
        <v/>
      </c>
      <c r="E3" s="4">
        <f>D3-C3</f>
        <v/>
      </c>
      <c r="F3" s="4">
        <f>B3+C3-D3</f>
        <v/>
      </c>
      <c r="G3" s="4">
        <f>Assumptions!$B$9</f>
        <v/>
      </c>
      <c r="H3" t="n">
        <v>2027</v>
      </c>
    </row>
    <row r="4">
      <c r="A4" t="n">
        <v>3</v>
      </c>
      <c r="B4" s="4">
        <f>F3</f>
        <v/>
      </c>
      <c r="C4" s="4">
        <f>B4*Assumptions!$B$6</f>
        <v/>
      </c>
      <c r="D4" s="4">
        <f>Assumptions!$B$4</f>
        <v/>
      </c>
      <c r="E4" s="4">
        <f>D4-C4</f>
        <v/>
      </c>
      <c r="F4" s="4">
        <f>B4+C4-D4</f>
        <v/>
      </c>
      <c r="G4" s="4">
        <f>Assumptions!$B$9</f>
        <v/>
      </c>
      <c r="H4" t="n">
        <v>2027</v>
      </c>
    </row>
    <row r="5">
      <c r="A5" t="n">
        <v>4</v>
      </c>
      <c r="B5" s="4">
        <f>F4</f>
        <v/>
      </c>
      <c r="C5" s="4">
        <f>B5*Assumptions!$B$6</f>
        <v/>
      </c>
      <c r="D5" s="4">
        <f>Assumptions!$B$4</f>
        <v/>
      </c>
      <c r="E5" s="4">
        <f>D5-C5</f>
        <v/>
      </c>
      <c r="F5" s="4">
        <f>B5+C5-D5</f>
        <v/>
      </c>
      <c r="G5" s="4">
        <f>Assumptions!$B$9</f>
        <v/>
      </c>
      <c r="H5" t="n">
        <v>2027</v>
      </c>
    </row>
    <row r="6">
      <c r="A6" t="n">
        <v>5</v>
      </c>
      <c r="B6" s="4">
        <f>F5</f>
        <v/>
      </c>
      <c r="C6" s="4">
        <f>B6*Assumptions!$B$6</f>
        <v/>
      </c>
      <c r="D6" s="4">
        <f>Assumptions!$B$4</f>
        <v/>
      </c>
      <c r="E6" s="4">
        <f>D6-C6</f>
        <v/>
      </c>
      <c r="F6" s="4">
        <f>B6+C6-D6</f>
        <v/>
      </c>
      <c r="G6" s="4">
        <f>Assumptions!$B$9</f>
        <v/>
      </c>
      <c r="H6" t="n">
        <v>2027</v>
      </c>
    </row>
    <row r="7">
      <c r="A7" t="n">
        <v>6</v>
      </c>
      <c r="B7" s="4">
        <f>F6</f>
        <v/>
      </c>
      <c r="C7" s="4">
        <f>B7*Assumptions!$B$6</f>
        <v/>
      </c>
      <c r="D7" s="4">
        <f>Assumptions!$B$4</f>
        <v/>
      </c>
      <c r="E7" s="4">
        <f>D7-C7</f>
        <v/>
      </c>
      <c r="F7" s="4">
        <f>B7+C7-D7</f>
        <v/>
      </c>
      <c r="G7" s="4">
        <f>Assumptions!$B$9</f>
        <v/>
      </c>
      <c r="H7" t="n">
        <v>2027</v>
      </c>
    </row>
    <row r="8">
      <c r="A8" t="n">
        <v>7</v>
      </c>
      <c r="B8" s="4">
        <f>F7</f>
        <v/>
      </c>
      <c r="C8" s="4">
        <f>B8*Assumptions!$B$6</f>
        <v/>
      </c>
      <c r="D8" s="4">
        <f>Assumptions!$B$4</f>
        <v/>
      </c>
      <c r="E8" s="4">
        <f>D8-C8</f>
        <v/>
      </c>
      <c r="F8" s="4">
        <f>B8+C8-D8</f>
        <v/>
      </c>
      <c r="G8" s="4">
        <f>Assumptions!$B$9</f>
        <v/>
      </c>
      <c r="H8" t="n">
        <v>2027</v>
      </c>
    </row>
    <row r="9">
      <c r="A9" t="n">
        <v>8</v>
      </c>
      <c r="B9" s="4">
        <f>F8</f>
        <v/>
      </c>
      <c r="C9" s="4">
        <f>B9*Assumptions!$B$6</f>
        <v/>
      </c>
      <c r="D9" s="4">
        <f>Assumptions!$B$4</f>
        <v/>
      </c>
      <c r="E9" s="4">
        <f>D9-C9</f>
        <v/>
      </c>
      <c r="F9" s="4">
        <f>B9+C9-D9</f>
        <v/>
      </c>
      <c r="G9" s="4">
        <f>Assumptions!$B$9</f>
        <v/>
      </c>
      <c r="H9" t="n">
        <v>2027</v>
      </c>
    </row>
    <row r="10">
      <c r="A10" t="n">
        <v>9</v>
      </c>
      <c r="B10" s="4">
        <f>F9</f>
        <v/>
      </c>
      <c r="C10" s="4">
        <f>B10*Assumptions!$B$6</f>
        <v/>
      </c>
      <c r="D10" s="4">
        <f>Assumptions!$B$4</f>
        <v/>
      </c>
      <c r="E10" s="4">
        <f>D10-C10</f>
        <v/>
      </c>
      <c r="F10" s="4">
        <f>B10+C10-D10</f>
        <v/>
      </c>
      <c r="G10" s="4">
        <f>Assumptions!$B$9</f>
        <v/>
      </c>
      <c r="H10" t="n">
        <v>2027</v>
      </c>
    </row>
    <row r="11">
      <c r="A11" t="n">
        <v>10</v>
      </c>
      <c r="B11" s="4">
        <f>F10</f>
        <v/>
      </c>
      <c r="C11" s="4">
        <f>B11*Assumptions!$B$6</f>
        <v/>
      </c>
      <c r="D11" s="4">
        <f>Assumptions!$B$4</f>
        <v/>
      </c>
      <c r="E11" s="4">
        <f>D11-C11</f>
        <v/>
      </c>
      <c r="F11" s="4">
        <f>B11+C11-D11</f>
        <v/>
      </c>
      <c r="G11" s="4">
        <f>Assumptions!$B$9</f>
        <v/>
      </c>
      <c r="H11" t="n">
        <v>2027</v>
      </c>
    </row>
    <row r="12">
      <c r="A12" t="n">
        <v>11</v>
      </c>
      <c r="B12" s="4">
        <f>F11</f>
        <v/>
      </c>
      <c r="C12" s="4">
        <f>B12*Assumptions!$B$6</f>
        <v/>
      </c>
      <c r="D12" s="4">
        <f>Assumptions!$B$4</f>
        <v/>
      </c>
      <c r="E12" s="4">
        <f>D12-C12</f>
        <v/>
      </c>
      <c r="F12" s="4">
        <f>B12+C12-D12</f>
        <v/>
      </c>
      <c r="G12" s="4">
        <f>Assumptions!$B$9</f>
        <v/>
      </c>
      <c r="H12" t="n">
        <v>2027</v>
      </c>
    </row>
    <row r="13">
      <c r="A13" t="n">
        <v>12</v>
      </c>
      <c r="B13" s="4">
        <f>F12</f>
        <v/>
      </c>
      <c r="C13" s="4">
        <f>B13*Assumptions!$B$6</f>
        <v/>
      </c>
      <c r="D13" s="4">
        <f>Assumptions!$B$4</f>
        <v/>
      </c>
      <c r="E13" s="4">
        <f>D13-C13</f>
        <v/>
      </c>
      <c r="F13" s="4">
        <f>B13+C13-D13</f>
        <v/>
      </c>
      <c r="G13" s="4">
        <f>Assumptions!$B$9</f>
        <v/>
      </c>
      <c r="H13" t="n">
        <v>2027</v>
      </c>
    </row>
    <row r="14">
      <c r="A14" t="n">
        <v>13</v>
      </c>
      <c r="B14" s="4">
        <f>F13</f>
        <v/>
      </c>
      <c r="C14" s="4">
        <f>B14*Assumptions!$B$6</f>
        <v/>
      </c>
      <c r="D14" s="4">
        <f>Assumptions!$B$4</f>
        <v/>
      </c>
      <c r="E14" s="4">
        <f>D14-C14</f>
        <v/>
      </c>
      <c r="F14" s="4">
        <f>B14+C14-D14</f>
        <v/>
      </c>
      <c r="G14" s="4">
        <f>Assumptions!$B$9</f>
        <v/>
      </c>
      <c r="H14" t="n">
        <v>2028</v>
      </c>
    </row>
    <row r="15">
      <c r="A15" t="n">
        <v>14</v>
      </c>
      <c r="B15" s="4">
        <f>F14</f>
        <v/>
      </c>
      <c r="C15" s="4">
        <f>B15*Assumptions!$B$6</f>
        <v/>
      </c>
      <c r="D15" s="4">
        <f>Assumptions!$B$4</f>
        <v/>
      </c>
      <c r="E15" s="4">
        <f>D15-C15</f>
        <v/>
      </c>
      <c r="F15" s="4">
        <f>B15+C15-D15</f>
        <v/>
      </c>
      <c r="G15" s="4">
        <f>Assumptions!$B$9</f>
        <v/>
      </c>
      <c r="H15" t="n">
        <v>2028</v>
      </c>
    </row>
    <row r="16">
      <c r="A16" t="n">
        <v>15</v>
      </c>
      <c r="B16" s="4">
        <f>F15</f>
        <v/>
      </c>
      <c r="C16" s="4">
        <f>B16*Assumptions!$B$6</f>
        <v/>
      </c>
      <c r="D16" s="4">
        <f>Assumptions!$B$4</f>
        <v/>
      </c>
      <c r="E16" s="4">
        <f>D16-C16</f>
        <v/>
      </c>
      <c r="F16" s="4">
        <f>B16+C16-D16</f>
        <v/>
      </c>
      <c r="G16" s="4">
        <f>Assumptions!$B$9</f>
        <v/>
      </c>
      <c r="H16" t="n">
        <v>2028</v>
      </c>
    </row>
    <row r="17">
      <c r="A17" t="n">
        <v>16</v>
      </c>
      <c r="B17" s="4">
        <f>F16</f>
        <v/>
      </c>
      <c r="C17" s="4">
        <f>B17*Assumptions!$B$6</f>
        <v/>
      </c>
      <c r="D17" s="4">
        <f>Assumptions!$B$4</f>
        <v/>
      </c>
      <c r="E17" s="4">
        <f>D17-C17</f>
        <v/>
      </c>
      <c r="F17" s="4">
        <f>B17+C17-D17</f>
        <v/>
      </c>
      <c r="G17" s="4">
        <f>Assumptions!$B$9</f>
        <v/>
      </c>
      <c r="H17" t="n">
        <v>2028</v>
      </c>
    </row>
    <row r="18">
      <c r="A18" t="n">
        <v>17</v>
      </c>
      <c r="B18" s="4">
        <f>F17</f>
        <v/>
      </c>
      <c r="C18" s="4">
        <f>B18*Assumptions!$B$6</f>
        <v/>
      </c>
      <c r="D18" s="4">
        <f>Assumptions!$B$4</f>
        <v/>
      </c>
      <c r="E18" s="4">
        <f>D18-C18</f>
        <v/>
      </c>
      <c r="F18" s="4">
        <f>B18+C18-D18</f>
        <v/>
      </c>
      <c r="G18" s="4">
        <f>Assumptions!$B$9</f>
        <v/>
      </c>
      <c r="H18" t="n">
        <v>2028</v>
      </c>
    </row>
    <row r="19">
      <c r="A19" t="n">
        <v>18</v>
      </c>
      <c r="B19" s="4">
        <f>F18</f>
        <v/>
      </c>
      <c r="C19" s="4">
        <f>B19*Assumptions!$B$6</f>
        <v/>
      </c>
      <c r="D19" s="4">
        <f>Assumptions!$B$4</f>
        <v/>
      </c>
      <c r="E19" s="4">
        <f>D19-C19</f>
        <v/>
      </c>
      <c r="F19" s="4">
        <f>B19+C19-D19</f>
        <v/>
      </c>
      <c r="G19" s="4">
        <f>Assumptions!$B$9</f>
        <v/>
      </c>
      <c r="H19" t="n">
        <v>2028</v>
      </c>
    </row>
    <row r="20">
      <c r="A20" t="n">
        <v>19</v>
      </c>
      <c r="B20" s="4">
        <f>F19</f>
        <v/>
      </c>
      <c r="C20" s="4">
        <f>B20*Assumptions!$B$6</f>
        <v/>
      </c>
      <c r="D20" s="4">
        <f>Assumptions!$B$4</f>
        <v/>
      </c>
      <c r="E20" s="4">
        <f>D20-C20</f>
        <v/>
      </c>
      <c r="F20" s="4">
        <f>B20+C20-D20</f>
        <v/>
      </c>
      <c r="G20" s="4">
        <f>Assumptions!$B$9</f>
        <v/>
      </c>
      <c r="H20" t="n">
        <v>2028</v>
      </c>
    </row>
    <row r="21">
      <c r="A21" t="n">
        <v>20</v>
      </c>
      <c r="B21" s="4">
        <f>F20</f>
        <v/>
      </c>
      <c r="C21" s="4">
        <f>B21*Assumptions!$B$6</f>
        <v/>
      </c>
      <c r="D21" s="4">
        <f>Assumptions!$B$4</f>
        <v/>
      </c>
      <c r="E21" s="4">
        <f>D21-C21</f>
        <v/>
      </c>
      <c r="F21" s="4">
        <f>B21+C21-D21</f>
        <v/>
      </c>
      <c r="G21" s="4">
        <f>Assumptions!$B$9</f>
        <v/>
      </c>
      <c r="H21" t="n">
        <v>2028</v>
      </c>
    </row>
    <row r="22">
      <c r="A22" t="n">
        <v>21</v>
      </c>
      <c r="B22" s="4">
        <f>F21</f>
        <v/>
      </c>
      <c r="C22" s="4">
        <f>B22*Assumptions!$B$6</f>
        <v/>
      </c>
      <c r="D22" s="4">
        <f>Assumptions!$B$4</f>
        <v/>
      </c>
      <c r="E22" s="4">
        <f>D22-C22</f>
        <v/>
      </c>
      <c r="F22" s="4">
        <f>B22+C22-D22</f>
        <v/>
      </c>
      <c r="G22" s="4">
        <f>Assumptions!$B$9</f>
        <v/>
      </c>
      <c r="H22" t="n">
        <v>2028</v>
      </c>
    </row>
    <row r="23">
      <c r="A23" t="n">
        <v>22</v>
      </c>
      <c r="B23" s="4">
        <f>F22</f>
        <v/>
      </c>
      <c r="C23" s="4">
        <f>B23*Assumptions!$B$6</f>
        <v/>
      </c>
      <c r="D23" s="4">
        <f>Assumptions!$B$4</f>
        <v/>
      </c>
      <c r="E23" s="4">
        <f>D23-C23</f>
        <v/>
      </c>
      <c r="F23" s="4">
        <f>B23+C23-D23</f>
        <v/>
      </c>
      <c r="G23" s="4">
        <f>Assumptions!$B$9</f>
        <v/>
      </c>
      <c r="H23" t="n">
        <v>2028</v>
      </c>
    </row>
    <row r="24">
      <c r="A24" t="n">
        <v>23</v>
      </c>
      <c r="B24" s="4">
        <f>F23</f>
        <v/>
      </c>
      <c r="C24" s="4">
        <f>B24*Assumptions!$B$6</f>
        <v/>
      </c>
      <c r="D24" s="4">
        <f>Assumptions!$B$4</f>
        <v/>
      </c>
      <c r="E24" s="4">
        <f>D24-C24</f>
        <v/>
      </c>
      <c r="F24" s="4">
        <f>B24+C24-D24</f>
        <v/>
      </c>
      <c r="G24" s="4">
        <f>Assumptions!$B$9</f>
        <v/>
      </c>
      <c r="H24" t="n">
        <v>2028</v>
      </c>
    </row>
    <row r="25">
      <c r="A25" t="n">
        <v>24</v>
      </c>
      <c r="B25" s="4">
        <f>F24</f>
        <v/>
      </c>
      <c r="C25" s="4">
        <f>B25*Assumptions!$B$6</f>
        <v/>
      </c>
      <c r="D25" s="4">
        <f>Assumptions!$B$4</f>
        <v/>
      </c>
      <c r="E25" s="4">
        <f>D25-C25</f>
        <v/>
      </c>
      <c r="F25" s="4">
        <f>B25+C25-D25</f>
        <v/>
      </c>
      <c r="G25" s="4">
        <f>Assumptions!$B$9</f>
        <v/>
      </c>
      <c r="H25" t="n">
        <v>2028</v>
      </c>
    </row>
    <row r="28">
      <c r="A28" t="inlineStr">
        <is>
          <t>Month 24 closing should be ~0. Internal formulas keep full precision.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Year</t>
        </is>
      </c>
      <c r="B1" s="1" t="inlineStr">
        <is>
          <t>Interest</t>
        </is>
      </c>
      <c r="C1" s="1" t="inlineStr">
        <is>
          <t>Cash_Payments</t>
        </is>
      </c>
      <c r="D1" s="1" t="inlineStr">
        <is>
          <t>Depreciation</t>
        </is>
      </c>
      <c r="E1" s="1" t="inlineStr">
        <is>
          <t>Closing_Liability</t>
        </is>
      </c>
    </row>
    <row r="2">
      <c r="A2" t="n">
        <v>2027</v>
      </c>
      <c r="B2" s="4">
        <f>SUMIF(Schedule!H:H,2027,Schedule!C:C)</f>
        <v/>
      </c>
      <c r="C2" s="4">
        <f>SUMIF(Schedule!H:H,2027,Schedule!D:D)</f>
        <v/>
      </c>
      <c r="D2" s="4">
        <f>SUMIF(Schedule!H:H,2027,Schedule!G:G)</f>
        <v/>
      </c>
      <c r="E2" s="4">
        <f>INDEX(Schedule!F:F,MATCH(12,Schedule!A:A,0))</f>
        <v/>
      </c>
    </row>
    <row r="3">
      <c r="A3" t="n">
        <v>2028</v>
      </c>
      <c r="B3" s="4">
        <f>SUMIF(Schedule!H:H,2028,Schedule!C:C)</f>
        <v/>
      </c>
      <c r="C3" s="4">
        <f>SUMIF(Schedule!H:H,2028,Schedule!D:D)</f>
        <v/>
      </c>
      <c r="D3" s="4">
        <f>SUMIF(Schedule!H:H,2028,Schedule!G:G)</f>
        <v/>
      </c>
      <c r="E3" s="4">
        <f>INDEX(Schedule!F:F,MATCH(24,Schedule!A:A,0))</f>
        <v/>
      </c>
    </row>
    <row r="5">
      <c r="A5" t="inlineStr">
        <is>
          <t>Check_interest_plus_principal_vs_payments_24m</t>
        </is>
      </c>
      <c r="B5">
        <f>SUM(Schedule!C2:C25)+SUM(Schedule!E2:E25)</f>
        <v/>
      </c>
      <c r="C5">
        <f>SUM(Schedule!D2:D25)</f>
        <v/>
      </c>
      <c r="D5">
        <f>B5-C5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2026-08-13T10:55:39Z</dcterms:created>
  <dcterms:modified xmlns:dcterms="http://purl.org/dc/terms/" xmlns:xsi="http://www.w3.org/2001/XMLSchema-instance" xsi:type="dcterms:W3CDTF">2026-08-13T10:55:39Z</dcterms:modified>
</cp:coreProperties>
</file>