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Detail" sheetId="1" state="visible" r:id="rId1"/>
    <sheet xmlns:r="http://schemas.openxmlformats.org/officeDocument/2006/relationships" name="Dept_Summary" sheetId="2" state="visible" r:id="rId2"/>
    <sheet xmlns:r="http://schemas.openxmlformats.org/officeDocument/2006/relationships" name="Conclu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F2C59"/>
      <sz val="14"/>
    </font>
  </fonts>
  <fills count="3">
    <fill>
      <patternFill/>
    </fill>
    <fill>
      <patternFill patternType="gray125"/>
    </fill>
    <fill>
      <patternFill patternType="solid">
        <fgColor rgb="000F2C5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 variance by department (Actual-Budget)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'Dept_Summary'!D1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'Dept_Summary'!$A$2:$A$5</f>
            </numRef>
          </cat>
          <val>
            <numRef>
              <f>'Dept_Summary'!$D$2:$D$5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$000s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variance (Jan / Feb / Mar)</a:t>
            </a:r>
          </a:p>
        </rich>
      </tx>
    </title>
    <plotArea>
      <lineChart>
        <grouping val="standard"/>
        <ser>
          <idx val="0"/>
          <order val="0"/>
          <tx>
            <strRef>
              <f>'Dept_Summary'!K1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'Dept_Summary'!$K$1:$M$1</f>
            </numRef>
          </cat>
          <val>
            <numRef>
              <f>'Dept_Summary'!$L$1:$M$1</f>
            </numRef>
          </val>
        </ser>
        <ser>
          <idx val="1"/>
          <order val="1"/>
          <tx>
            <strRef>
              <f>'Dept_Summary'!K2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'Dept_Summary'!$K$1:$M$1</f>
            </numRef>
          </cat>
          <val>
            <numRef>
              <f>'Dept_Summary'!$L$2:$M$2</f>
            </numRef>
          </val>
        </ser>
        <ser>
          <idx val="2"/>
          <order val="2"/>
          <tx>
            <strRef>
              <f>'Dept_Summary'!K3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'Dept_Summary'!$K$1:$M$1</f>
            </numRef>
          </cat>
          <val>
            <numRef>
              <f>'Dept_Summary'!$L$3:$M$3</f>
            </numRef>
          </val>
        </ser>
        <ser>
          <idx val="3"/>
          <order val="3"/>
          <tx>
            <strRef>
              <f>'Dept_Summary'!K4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'Dept_Summary'!$K$1:$M$1</f>
            </numRef>
          </cat>
          <val>
            <numRef>
              <f>'Dept_Summary'!$L$4:$M$4</f>
            </numRef>
          </val>
        </ser>
        <ser>
          <idx val="4"/>
          <order val="4"/>
          <tx>
            <strRef>
              <f>'Dept_Summary'!K5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'Dept_Summary'!$K$1:$M$1</f>
            </numRef>
          </cat>
          <val>
            <numRef>
              <f>'Dept_Summary'!$L$5:$M$5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8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Department</t>
        </is>
      </c>
      <c r="B1" s="1" t="inlineStr">
        <is>
          <t>Jan_B</t>
        </is>
      </c>
      <c r="C1" s="1" t="inlineStr">
        <is>
          <t>Jan_A</t>
        </is>
      </c>
      <c r="D1" s="1" t="inlineStr">
        <is>
          <t>Feb_B</t>
        </is>
      </c>
      <c r="E1" s="1" t="inlineStr">
        <is>
          <t>Feb_A</t>
        </is>
      </c>
      <c r="F1" s="1" t="inlineStr">
        <is>
          <t>Mar_B</t>
        </is>
      </c>
      <c r="G1" s="1" t="inlineStr">
        <is>
          <t>Mar_A</t>
        </is>
      </c>
      <c r="H1" s="1" t="inlineStr">
        <is>
          <t>Jan_Var</t>
        </is>
      </c>
      <c r="I1" s="1" t="inlineStr">
        <is>
          <t>Feb_Var</t>
        </is>
      </c>
      <c r="J1" s="1" t="inlineStr">
        <is>
          <t>Mar_Var</t>
        </is>
      </c>
    </row>
    <row r="2">
      <c r="A2" t="inlineStr">
        <is>
          <t>Marketing</t>
        </is>
      </c>
      <c r="B2" t="n">
        <v>100</v>
      </c>
      <c r="C2" t="n">
        <v>105</v>
      </c>
      <c r="D2" t="n">
        <v>110</v>
      </c>
      <c r="E2" t="n">
        <v>98</v>
      </c>
      <c r="F2" t="n">
        <v>120</v>
      </c>
      <c r="G2" t="n">
        <v>150</v>
      </c>
      <c r="H2">
        <f>C2-B2</f>
        <v/>
      </c>
      <c r="I2">
        <f>E2-D2</f>
        <v/>
      </c>
      <c r="J2">
        <f>G2-F2</f>
        <v/>
      </c>
    </row>
    <row r="3">
      <c r="A3" t="inlineStr">
        <is>
          <t>R&amp;D</t>
        </is>
      </c>
      <c r="B3" t="n">
        <v>200</v>
      </c>
      <c r="C3" t="n">
        <v>190</v>
      </c>
      <c r="D3" t="n">
        <v>210</v>
      </c>
      <c r="E3" t="n">
        <v>230</v>
      </c>
      <c r="F3" t="n">
        <v>220</v>
      </c>
      <c r="G3" t="n">
        <v>250</v>
      </c>
      <c r="H3">
        <f>C3-B3</f>
        <v/>
      </c>
      <c r="I3">
        <f>E3-D3</f>
        <v/>
      </c>
      <c r="J3">
        <f>G3-F3</f>
        <v/>
      </c>
    </row>
    <row r="4">
      <c r="A4" t="inlineStr">
        <is>
          <t>G&amp;A</t>
        </is>
      </c>
      <c r="B4" t="n">
        <v>80</v>
      </c>
      <c r="C4" t="n">
        <v>78</v>
      </c>
      <c r="D4" t="n">
        <v>80</v>
      </c>
      <c r="E4" t="n">
        <v>82</v>
      </c>
      <c r="F4" t="n">
        <v>85</v>
      </c>
      <c r="G4" t="n">
        <v>80</v>
      </c>
      <c r="H4">
        <f>C4-B4</f>
        <v/>
      </c>
      <c r="I4">
        <f>E4-D4</f>
        <v/>
      </c>
      <c r="J4">
        <f>G4-F4</f>
        <v/>
      </c>
    </row>
    <row r="5">
      <c r="A5" t="inlineStr">
        <is>
          <t>Sales</t>
        </is>
      </c>
      <c r="B5" t="n">
        <v>150</v>
      </c>
      <c r="C5" t="n">
        <v>145</v>
      </c>
      <c r="D5" t="n">
        <v>160</v>
      </c>
      <c r="E5" t="n">
        <v>175</v>
      </c>
      <c r="F5" t="n">
        <v>170</v>
      </c>
      <c r="G5" t="n">
        <v>185</v>
      </c>
      <c r="H5">
        <f>C5-B5</f>
        <v/>
      </c>
      <c r="I5">
        <f>E5-D5</f>
        <v/>
      </c>
      <c r="J5">
        <f>G5-F5</f>
        <v/>
      </c>
    </row>
    <row r="6">
      <c r="A6" t="inlineStr">
        <is>
          <t>TOTAL</t>
        </is>
      </c>
      <c r="B6">
        <f>B2+B3+B4+B5</f>
        <v/>
      </c>
      <c r="C6">
        <f>C2+C3+C4+C5</f>
        <v/>
      </c>
      <c r="D6">
        <f>D2+D3+D4+D5</f>
        <v/>
      </c>
      <c r="E6">
        <f>E2+E3+E4+E5</f>
        <v/>
      </c>
      <c r="F6">
        <f>F2+F3+F4+F5</f>
        <v/>
      </c>
      <c r="G6">
        <f>G2+G3+G4+G5</f>
        <v/>
      </c>
      <c r="H6">
        <f>H2+H3+H4+H5</f>
        <v/>
      </c>
      <c r="I6">
        <f>I2+I3+I4+I5</f>
        <v/>
      </c>
      <c r="J6">
        <f>J2+J3+J4+J5</f>
        <v/>
      </c>
    </row>
    <row r="8">
      <c r="A8" t="inlineStr">
        <is>
          <t>Variance = Actual-Budget. Positive = Unfavorable for expenses. Unit: $000s.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Department</t>
        </is>
      </c>
      <c r="B1" s="1" t="inlineStr">
        <is>
          <t>Q_Budget</t>
        </is>
      </c>
      <c r="C1" s="1" t="inlineStr">
        <is>
          <t>Q_Actual</t>
        </is>
      </c>
      <c r="D1" s="1" t="inlineStr">
        <is>
          <t>Q_Var</t>
        </is>
      </c>
      <c r="E1" s="1" t="inlineStr">
        <is>
          <t>Q_Var_Pct</t>
        </is>
      </c>
      <c r="F1" s="1" t="inlineStr">
        <is>
          <t>Flag</t>
        </is>
      </c>
      <c r="G1" s="1" t="inlineStr">
        <is>
          <t>CumVar_Jan</t>
        </is>
      </c>
      <c r="H1" s="1" t="inlineStr">
        <is>
          <t>CumVar_Feb</t>
        </is>
      </c>
      <c r="I1" s="1" t="inlineStr">
        <is>
          <t>CumVar_Mar</t>
        </is>
      </c>
      <c r="K1" t="inlineStr">
        <is>
          <t>Jan</t>
        </is>
      </c>
      <c r="L1" t="inlineStr">
        <is>
          <t>Feb</t>
        </is>
      </c>
      <c r="M1" t="inlineStr">
        <is>
          <t>Mar</t>
        </is>
      </c>
    </row>
    <row r="2">
      <c r="A2">
        <f>Monthly_Detail!A2</f>
        <v/>
      </c>
      <c r="B2">
        <f>Monthly_Detail!B2+Monthly_Detail!D2+Monthly_Detail!F2</f>
        <v/>
      </c>
      <c r="C2">
        <f>Monthly_Detail!C2+Monthly_Detail!E2+Monthly_Detail!G2</f>
        <v/>
      </c>
      <c r="D2">
        <f>C2-B2</f>
        <v/>
      </c>
      <c r="E2" s="2">
        <f>D2/B2</f>
        <v/>
      </c>
      <c r="F2">
        <f>IF(D2&lt;0,"Favorable-Green",IF(OR(D2&gt;20,D2/B2&gt;0.05),"Unfavorable-Red","Watch"))</f>
        <v/>
      </c>
      <c r="G2">
        <f>Monthly_Detail!H2</f>
        <v/>
      </c>
      <c r="H2">
        <f>G2+Monthly_Detail!I2</f>
        <v/>
      </c>
      <c r="I2">
        <f>H2+Monthly_Detail!J2</f>
        <v/>
      </c>
      <c r="J2">
        <f>A2</f>
        <v/>
      </c>
      <c r="K2">
        <f>G2</f>
        <v/>
      </c>
      <c r="L2">
        <f>H2</f>
        <v/>
      </c>
      <c r="M2">
        <f>I2</f>
        <v/>
      </c>
    </row>
    <row r="3">
      <c r="A3">
        <f>Monthly_Detail!A3</f>
        <v/>
      </c>
      <c r="B3">
        <f>Monthly_Detail!B3+Monthly_Detail!D3+Monthly_Detail!F3</f>
        <v/>
      </c>
      <c r="C3">
        <f>Monthly_Detail!C3+Monthly_Detail!E3+Monthly_Detail!G3</f>
        <v/>
      </c>
      <c r="D3">
        <f>C3-B3</f>
        <v/>
      </c>
      <c r="E3" s="2">
        <f>D3/B3</f>
        <v/>
      </c>
      <c r="F3">
        <f>IF(D3&lt;0,"Favorable-Green",IF(OR(D3&gt;20,D3/B3&gt;0.05),"Unfavorable-Red","Watch"))</f>
        <v/>
      </c>
      <c r="G3">
        <f>Monthly_Detail!H3</f>
        <v/>
      </c>
      <c r="H3">
        <f>G3+Monthly_Detail!I3</f>
        <v/>
      </c>
      <c r="I3">
        <f>H3+Monthly_Detail!J3</f>
        <v/>
      </c>
      <c r="J3">
        <f>A3</f>
        <v/>
      </c>
      <c r="K3">
        <f>G3</f>
        <v/>
      </c>
      <c r="L3">
        <f>H3</f>
        <v/>
      </c>
      <c r="M3">
        <f>I3</f>
        <v/>
      </c>
    </row>
    <row r="4">
      <c r="A4">
        <f>Monthly_Detail!A4</f>
        <v/>
      </c>
      <c r="B4">
        <f>Monthly_Detail!B4+Monthly_Detail!D4+Monthly_Detail!F4</f>
        <v/>
      </c>
      <c r="C4">
        <f>Monthly_Detail!C4+Monthly_Detail!E4+Monthly_Detail!G4</f>
        <v/>
      </c>
      <c r="D4">
        <f>C4-B4</f>
        <v/>
      </c>
      <c r="E4" s="2">
        <f>D4/B4</f>
        <v/>
      </c>
      <c r="F4">
        <f>IF(D4&lt;0,"Favorable-Green",IF(OR(D4&gt;20,D4/B4&gt;0.05),"Unfavorable-Red","Watch"))</f>
        <v/>
      </c>
      <c r="G4">
        <f>Monthly_Detail!H4</f>
        <v/>
      </c>
      <c r="H4">
        <f>G4+Monthly_Detail!I4</f>
        <v/>
      </c>
      <c r="I4">
        <f>H4+Monthly_Detail!J4</f>
        <v/>
      </c>
      <c r="J4">
        <f>A4</f>
        <v/>
      </c>
      <c r="K4">
        <f>G4</f>
        <v/>
      </c>
      <c r="L4">
        <f>H4</f>
        <v/>
      </c>
      <c r="M4">
        <f>I4</f>
        <v/>
      </c>
    </row>
    <row r="5">
      <c r="A5">
        <f>Monthly_Detail!A5</f>
        <v/>
      </c>
      <c r="B5">
        <f>Monthly_Detail!B5+Monthly_Detail!D5+Monthly_Detail!F5</f>
        <v/>
      </c>
      <c r="C5">
        <f>Monthly_Detail!C5+Monthly_Detail!E5+Monthly_Detail!G5</f>
        <v/>
      </c>
      <c r="D5">
        <f>C5-B5</f>
        <v/>
      </c>
      <c r="E5" s="2">
        <f>D5/B5</f>
        <v/>
      </c>
      <c r="F5">
        <f>IF(D5&lt;0,"Favorable-Green",IF(OR(D5&gt;20,D5/B5&gt;0.05),"Unfavorable-Red","Watch"))</f>
        <v/>
      </c>
      <c r="G5">
        <f>Monthly_Detail!H5</f>
        <v/>
      </c>
      <c r="H5">
        <f>G5+Monthly_Detail!I5</f>
        <v/>
      </c>
      <c r="I5">
        <f>H5+Monthly_Detail!J5</f>
        <v/>
      </c>
      <c r="J5">
        <f>A5</f>
        <v/>
      </c>
      <c r="K5">
        <f>G5</f>
        <v/>
      </c>
      <c r="L5">
        <f>H5</f>
        <v/>
      </c>
      <c r="M5">
        <f>I5</f>
        <v/>
      </c>
    </row>
    <row r="6">
      <c r="A6" t="inlineStr">
        <is>
          <t>TOTAL</t>
        </is>
      </c>
      <c r="B6">
        <f>SUM(B2:B5)</f>
        <v/>
      </c>
      <c r="C6">
        <f>SUM(C2:C5)</f>
        <v/>
      </c>
      <c r="D6">
        <f>C6-B6</f>
        <v/>
      </c>
      <c r="E6" s="2">
        <f>D6/B6</f>
        <v/>
      </c>
    </row>
  </sheetData>
  <conditionalFormatting sqref="F2:F5">
    <cfRule type="expression" priority="1" dxfId="0">
      <formula>ISNUMBER(SEARCH("Red",F2))</formula>
    </cfRule>
    <cfRule type="expression" priority="2" dxfId="1">
      <formula>ISNUMBER(SEARCH("Green",F2))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Three conclusions for management</t>
        </is>
      </c>
    </row>
    <row r="3" ht="36" customHeight="1">
      <c r="A3" s="4" t="inlineStr">
        <is>
          <t>1. R&amp;D has the largest overspend: quarterly unfavorable 40 ($000s, 6.35%), with consecutive unfavorable months in Feb (+20) and Mar (+30). Do not be misled by January's favorable -10.</t>
        </is>
      </c>
    </row>
    <row r="4" ht="36" customHeight="1">
      <c r="A4" s="4" t="inlineStr">
        <is>
          <t>2. Marketing is red because of March: Jan-Feb still favorable -7, then March +30 drives the quarter to +23 (6.97%). The issue is March spend, not even overspend.</t>
        </is>
      </c>
    </row>
    <row r="5" ht="36" customHeight="1">
      <c r="A5" s="4" t="inlineStr">
        <is>
          <t>3. Sales is over the line (+25, 5.21%) for two consecutive months; G&amp;A is favorable -5 (-2.04%) green. Company total +83 / 1685 = 4.93% would hide three red departments.</t>
        </is>
      </c>
    </row>
    <row r="6" ht="36" customHeight="1">
      <c r="A6" s="4" t="n"/>
    </row>
    <row r="7" ht="36" customHeight="1">
      <c r="A7" s="4" t="inlineStr">
        <is>
          <t>Threshold: red if quarterly unfavorable &gt;20 or variance rate &gt;5% of department quarterly budget. Green if favorable.</t>
        </is>
      </c>
    </row>
    <row r="8" ht="36" customHeight="1">
      <c r="A8" s="4" t="inlineStr">
        <is>
          <t>Formulas live on Monthly_Detail and Dept_Summary. Amounts in $000s.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2026-08-13T10:55:39Z</dcterms:created>
  <dcterms:modified xmlns:dcterms="http://purl.org/dc/terms/" xmlns:xsi="http://www.w3.org/2001/XMLSchema-instance" xsi:type="dcterms:W3CDTF">2026-08-13T10:55:39Z</dcterms:modified>
</cp:coreProperties>
</file>