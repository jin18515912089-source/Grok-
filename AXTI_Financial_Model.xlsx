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TI 3-Statement Model" sheetId="1" state="visible" r:id="rId1"/>
  </sheets>
  <definedNames>
    <definedName name="_xlnm.Print_Titles" localSheetId="0">'AXTI 3-Statement Model'!$1:$11,'AXTI 3-Statement Model'!$A:$C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666666"/>
      <sz val="8"/>
    </font>
    <font>
      <name val="Calibri"/>
      <b val="1"/>
      <color rgb="00000000"/>
      <sz val="9"/>
    </font>
    <font>
      <name val="Calibri"/>
      <color rgb="000000FF"/>
      <sz val="9"/>
    </font>
    <font>
      <name val="Calibri"/>
      <color rgb="00000000"/>
      <sz val="9"/>
    </font>
    <font>
      <name val="Calibri"/>
      <i val="1"/>
      <color rgb="00000000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00FF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833C0C"/>
      </patternFill>
    </fill>
    <fill>
      <patternFill patternType="solid">
        <fgColor rgb="005B2C6F"/>
      </patternFill>
    </fill>
    <fill>
      <patternFill patternType="solid">
        <fgColor rgb="00C0000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49" fontId="4" fillId="3" borderId="1" applyAlignment="1" pivotButton="0" quotePrefix="0" xfId="0">
      <alignment horizontal="right" vertical="center"/>
    </xf>
    <xf numFmtId="49" fontId="4" fillId="5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49" fontId="6" fillId="3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right" vertical="center"/>
    </xf>
    <xf numFmtId="49" fontId="6" fillId="4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 wrapText="1"/>
    </xf>
    <xf numFmtId="0" fontId="9" fillId="2" borderId="0" pivotButton="0" quotePrefix="0" xfId="0"/>
    <xf numFmtId="164" fontId="6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 wrapText="1"/>
    </xf>
    <xf numFmtId="0" fontId="9" fillId="8" borderId="0" pivotButton="0" quotePrefix="0" xfId="0"/>
    <xf numFmtId="3" fontId="10" fillId="3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left" vertical="center" wrapText="1"/>
    </xf>
    <xf numFmtId="0" fontId="9" fillId="9" borderId="0" pivotButton="0" quotePrefix="0" xfId="0"/>
    <xf numFmtId="3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 wrapText="1"/>
    </xf>
    <xf numFmtId="0" fontId="9" fillId="10" borderId="0" pivotButton="0" quotePrefix="0" xfId="0"/>
    <xf numFmtId="0" fontId="9" fillId="11" borderId="0" applyAlignment="1" pivotButton="0" quotePrefix="0" xfId="0">
      <alignment horizontal="left" vertical="center" wrapText="1"/>
    </xf>
    <xf numFmtId="0" fontId="9" fillId="11" borderId="0" pivotButton="0" quotePrefix="0" xfId="0"/>
    <xf numFmtId="3" fontId="4" fillId="12" borderId="1" applyAlignment="1" pivotButton="0" quotePrefix="0" xfId="0">
      <alignment horizontal="right" vertical="center"/>
    </xf>
    <xf numFmtId="3" fontId="6" fillId="12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131"/>
  <sheetViews>
    <sheetView showGridLines="0" zoomScale="9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1.2" customWidth="1" min="16" max="16"/>
    <col width="2.5" customWidth="1" min="17" max="17"/>
    <col width="11.2" customWidth="1" min="18" max="18"/>
    <col width="11.2" customWidth="1" min="19" max="19"/>
    <col width="11.2" customWidth="1" min="20" max="20"/>
    <col width="11.2" customWidth="1" min="21" max="21"/>
    <col width="11.2" customWidth="1" min="22" max="22"/>
    <col width="11.2" customWidth="1" min="23" max="23"/>
    <col width="11.2" customWidth="1" min="24" max="24"/>
    <col width="11.2" customWidth="1" min="25" max="25"/>
    <col width="11.2" customWidth="1" min="26" max="26"/>
    <col width="11.2" customWidth="1" min="27" max="27"/>
    <col width="11.2" customWidth="1" min="28" max="28"/>
    <col width="11.2" customWidth="1" min="29" max="29"/>
    <col width="11.2" customWidth="1" min="30" max="30"/>
    <col width="11.2" customWidth="1" min="31" max="31"/>
    <col width="11.2" customWidth="1" min="32" max="32"/>
    <col width="11.2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1.2" customWidth="1" min="38" max="38"/>
    <col width="11.2" customWidth="1" min="39" max="39"/>
    <col width="11.2" customWidth="1" min="40" max="40"/>
    <col width="11.2" customWidth="1" min="41" max="41"/>
    <col width="11.2" customWidth="1" min="42" max="42"/>
    <col width="11.2" customWidth="1" min="43" max="43"/>
    <col width="11.2" customWidth="1" min="44" max="44"/>
    <col width="11.2" customWidth="1" min="45" max="45"/>
    <col width="11.2" customWidth="1" min="46" max="46"/>
    <col width="11.2" customWidth="1" min="47" max="47"/>
    <col width="11.2" customWidth="1" min="48" max="48"/>
    <col width="11.2" customWidth="1" min="49" max="49"/>
    <col width="11.2" customWidth="1" min="50" max="50"/>
    <col width="11.2" customWidth="1" min="51" max="51"/>
    <col width="11.2" customWidth="1" min="52" max="52"/>
    <col width="11.2" customWidth="1" min="53" max="53"/>
    <col width="11.2" customWidth="1" min="54" max="54"/>
    <col width="11.2" customWidth="1" min="55" max="55"/>
    <col width="11.2" customWidth="1" min="56" max="56"/>
    <col width="11.2" customWidth="1" min="57" max="57"/>
    <col width="11.2" customWidth="1" min="58" max="58"/>
    <col width="11.2" customWidth="1" min="59" max="59"/>
    <col width="11.2" customWidth="1" min="60" max="60"/>
    <col width="11.2" customWidth="1" min="61" max="61"/>
    <col width="11.2" customWidth="1" min="62" max="62"/>
    <col width="11.2" customWidth="1" min="63" max="63"/>
    <col width="11.2" customWidth="1" min="64" max="64"/>
    <col width="11.2" customWidth="1" min="65" max="65"/>
    <col width="11.2" customWidth="1" min="66" max="66"/>
    <col width="11.2" customWidth="1" min="67" max="67"/>
    <col width="11.2" customWidth="1" min="68" max="68"/>
    <col width="11.2" customWidth="1" min="69" max="69"/>
    <col width="78" customWidth="1" min="70" max="70"/>
  </cols>
  <sheetData>
    <row r="1" ht="24" customHeight="1">
      <c r="A1" s="1" t="inlineStr">
        <is>
          <t>AXT, Inc. (NASDAQ: AXTI)  —  Integrated 3-Statement Financial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磷化铟 (InP) 衬底量价驱动 | 历史 2016–2025A + 2026H1A | 预测 2026H2–2028E | 单位: $000（另有标注除外）</t>
        </is>
      </c>
    </row>
    <row r="3">
      <c r="A3" s="4" t="inlineStr">
        <is>
          <t>数据来源: SEC 10-K/10-Q XBRL、公司财报电话会、2025 Form 10-K、2026Q1/Q2 10-Q。蓝色=假设/硬编码；黑色=公式。模型日期: 2026-08-18。</t>
        </is>
      </c>
    </row>
    <row r="5">
      <c r="A5" s="5" t="inlineStr">
        <is>
          <t>图例</t>
        </is>
      </c>
      <c r="B5" s="6" t="inlineStr">
        <is>
          <t>蓝色字体 = 假设 / 历史硬编码 (hardcode)</t>
        </is>
      </c>
      <c r="C5" s="7" t="inlineStr">
        <is>
          <t>黑色字体 = 公式 / 勾稽</t>
        </is>
      </c>
      <c r="D5" s="8" t="inlineStr">
        <is>
          <t>灰底 = 实际</t>
        </is>
      </c>
      <c r="E5" s="9" t="inlineStr">
        <is>
          <t>黄底 = 预测</t>
        </is>
      </c>
      <c r="F5" s="10" t="inlineStr">
        <is>
          <t>橙底 = 2026A/E 混合</t>
        </is>
      </c>
      <c r="G5" s="11" t="inlineStr">
        <is>
          <t>最右列为 Notes</t>
        </is>
      </c>
    </row>
    <row r="7">
      <c r="B7" s="5" t="inlineStr">
        <is>
          <t>Period type</t>
        </is>
      </c>
      <c r="D7" s="12" t="inlineStr">
        <is>
          <t>Annual</t>
        </is>
      </c>
      <c r="E7" s="12" t="inlineStr">
        <is>
          <t>Annual</t>
        </is>
      </c>
      <c r="F7" s="12" t="inlineStr">
        <is>
          <t>Annual</t>
        </is>
      </c>
      <c r="G7" s="12" t="inlineStr">
        <is>
          <t>Annual</t>
        </is>
      </c>
      <c r="H7" s="12" t="inlineStr">
        <is>
          <t>Annual</t>
        </is>
      </c>
      <c r="I7" s="12" t="inlineStr">
        <is>
          <t>Annual</t>
        </is>
      </c>
      <c r="J7" s="12" t="inlineStr">
        <is>
          <t>Annual</t>
        </is>
      </c>
      <c r="K7" s="12" t="inlineStr">
        <is>
          <t>Annual</t>
        </is>
      </c>
      <c r="L7" s="12" t="inlineStr">
        <is>
          <t>Annual</t>
        </is>
      </c>
      <c r="M7" s="12" t="inlineStr">
        <is>
          <t>Annual</t>
        </is>
      </c>
      <c r="N7" s="13" t="inlineStr">
        <is>
          <t>Annual</t>
        </is>
      </c>
      <c r="O7" s="14" t="inlineStr">
        <is>
          <t>Annual</t>
        </is>
      </c>
      <c r="P7" s="14" t="inlineStr">
        <is>
          <t>Annual</t>
        </is>
      </c>
      <c r="Q7" s="2" t="n"/>
      <c r="R7" s="12" t="inlineStr">
        <is>
          <t>Quarterly</t>
        </is>
      </c>
      <c r="S7" s="12" t="inlineStr">
        <is>
          <t>Quarterly</t>
        </is>
      </c>
      <c r="T7" s="12" t="inlineStr">
        <is>
          <t>Quarterly</t>
        </is>
      </c>
      <c r="U7" s="12" t="inlineStr">
        <is>
          <t>Quarterly</t>
        </is>
      </c>
      <c r="V7" s="12" t="inlineStr">
        <is>
          <t>Quarterly</t>
        </is>
      </c>
      <c r="W7" s="12" t="inlineStr">
        <is>
          <t>Quarterly</t>
        </is>
      </c>
      <c r="X7" s="12" t="inlineStr">
        <is>
          <t>Quarterly</t>
        </is>
      </c>
      <c r="Y7" s="12" t="inlineStr">
        <is>
          <t>Quarterly</t>
        </is>
      </c>
      <c r="Z7" s="12" t="inlineStr">
        <is>
          <t>Quarterly</t>
        </is>
      </c>
      <c r="AA7" s="12" t="inlineStr">
        <is>
          <t>Quarterly</t>
        </is>
      </c>
      <c r="AB7" s="12" t="inlineStr">
        <is>
          <t>Quarterly</t>
        </is>
      </c>
      <c r="AC7" s="12" t="inlineStr">
        <is>
          <t>Quarterly</t>
        </is>
      </c>
      <c r="AD7" s="12" t="inlineStr">
        <is>
          <t>Quarterly</t>
        </is>
      </c>
      <c r="AE7" s="12" t="inlineStr">
        <is>
          <t>Quarterly</t>
        </is>
      </c>
      <c r="AF7" s="12" t="inlineStr">
        <is>
          <t>Quarterly</t>
        </is>
      </c>
      <c r="AG7" s="12" t="inlineStr">
        <is>
          <t>Quarterly</t>
        </is>
      </c>
      <c r="AH7" s="12" t="inlineStr">
        <is>
          <t>Quarterly</t>
        </is>
      </c>
      <c r="AI7" s="12" t="inlineStr">
        <is>
          <t>Quarterly</t>
        </is>
      </c>
      <c r="AJ7" s="12" t="inlineStr">
        <is>
          <t>Quarterly</t>
        </is>
      </c>
      <c r="AK7" s="12" t="inlineStr">
        <is>
          <t>Quarterly</t>
        </is>
      </c>
      <c r="AL7" s="12" t="inlineStr">
        <is>
          <t>Quarterly</t>
        </is>
      </c>
      <c r="AM7" s="12" t="inlineStr">
        <is>
          <t>Quarterly</t>
        </is>
      </c>
      <c r="AN7" s="12" t="inlineStr">
        <is>
          <t>Quarterly</t>
        </is>
      </c>
      <c r="AO7" s="12" t="inlineStr">
        <is>
          <t>Quarterly</t>
        </is>
      </c>
      <c r="AP7" s="12" t="inlineStr">
        <is>
          <t>Quarterly</t>
        </is>
      </c>
      <c r="AQ7" s="12" t="inlineStr">
        <is>
          <t>Quarterly</t>
        </is>
      </c>
      <c r="AR7" s="12" t="inlineStr">
        <is>
          <t>Quarterly</t>
        </is>
      </c>
      <c r="AS7" s="12" t="inlineStr">
        <is>
          <t>Quarterly</t>
        </is>
      </c>
      <c r="AT7" s="12" t="inlineStr">
        <is>
          <t>Quarterly</t>
        </is>
      </c>
      <c r="AU7" s="12" t="inlineStr">
        <is>
          <t>Quarterly</t>
        </is>
      </c>
      <c r="AV7" s="12" t="inlineStr">
        <is>
          <t>Quarterly</t>
        </is>
      </c>
      <c r="AW7" s="12" t="inlineStr">
        <is>
          <t>Quarterly</t>
        </is>
      </c>
      <c r="AX7" s="12" t="inlineStr">
        <is>
          <t>Quarterly</t>
        </is>
      </c>
      <c r="AY7" s="12" t="inlineStr">
        <is>
          <t>Quarterly</t>
        </is>
      </c>
      <c r="AZ7" s="12" t="inlineStr">
        <is>
          <t>Quarterly</t>
        </is>
      </c>
      <c r="BA7" s="12" t="inlineStr">
        <is>
          <t>Quarterly</t>
        </is>
      </c>
      <c r="BB7" s="12" t="inlineStr">
        <is>
          <t>Quarterly</t>
        </is>
      </c>
      <c r="BC7" s="12" t="inlineStr">
        <is>
          <t>Quarterly</t>
        </is>
      </c>
      <c r="BD7" s="12" t="inlineStr">
        <is>
          <t>Quarterly</t>
        </is>
      </c>
      <c r="BE7" s="12" t="inlineStr">
        <is>
          <t>Quarterly</t>
        </is>
      </c>
      <c r="BF7" s="12" t="inlineStr">
        <is>
          <t>Quarterly</t>
        </is>
      </c>
      <c r="BG7" s="12" t="inlineStr">
        <is>
          <t>Quarterly</t>
        </is>
      </c>
      <c r="BH7" s="14" t="inlineStr">
        <is>
          <t>Quarterly</t>
        </is>
      </c>
      <c r="BI7" s="14" t="inlineStr">
        <is>
          <t>Quarterly</t>
        </is>
      </c>
      <c r="BJ7" s="14" t="inlineStr">
        <is>
          <t>Quarterly</t>
        </is>
      </c>
      <c r="BK7" s="14" t="inlineStr">
        <is>
          <t>Quarterly</t>
        </is>
      </c>
      <c r="BL7" s="14" t="inlineStr">
        <is>
          <t>Quarterly</t>
        </is>
      </c>
      <c r="BM7" s="14" t="inlineStr">
        <is>
          <t>Quarterly</t>
        </is>
      </c>
      <c r="BN7" s="14" t="inlineStr">
        <is>
          <t>Quarterly</t>
        </is>
      </c>
      <c r="BO7" s="14" t="inlineStr">
        <is>
          <t>Quarterly</t>
        </is>
      </c>
      <c r="BP7" s="14" t="inlineStr">
        <is>
          <t>Quarterly</t>
        </is>
      </c>
      <c r="BQ7" s="14" t="inlineStr">
        <is>
          <t>Quarterly</t>
        </is>
      </c>
      <c r="BR7" s="15" t="inlineStr">
        <is>
          <t>Notes / 假设依据</t>
        </is>
      </c>
    </row>
    <row r="8">
      <c r="B8" s="5" t="inlineStr">
        <is>
          <t>Fiscal year</t>
        </is>
      </c>
      <c r="D8" s="16" t="n">
        <v>2016</v>
      </c>
      <c r="E8" s="16" t="n">
        <v>2017</v>
      </c>
      <c r="F8" s="16" t="n">
        <v>2018</v>
      </c>
      <c r="G8" s="16" t="n">
        <v>2019</v>
      </c>
      <c r="H8" s="16" t="n">
        <v>2020</v>
      </c>
      <c r="I8" s="16" t="n">
        <v>2021</v>
      </c>
      <c r="J8" s="16" t="n">
        <v>2022</v>
      </c>
      <c r="K8" s="16" t="n">
        <v>2023</v>
      </c>
      <c r="L8" s="16" t="n">
        <v>2024</v>
      </c>
      <c r="M8" s="16" t="n">
        <v>2025</v>
      </c>
      <c r="N8" s="17" t="n">
        <v>2026</v>
      </c>
      <c r="O8" s="18" t="n">
        <v>2027</v>
      </c>
      <c r="P8" s="18" t="n">
        <v>2028</v>
      </c>
      <c r="Q8" s="2" t="n"/>
      <c r="R8" s="16" t="n">
        <v>2016</v>
      </c>
      <c r="S8" s="16" t="n">
        <v>2016</v>
      </c>
      <c r="T8" s="16" t="n">
        <v>2016</v>
      </c>
      <c r="U8" s="16" t="n">
        <v>2016</v>
      </c>
      <c r="V8" s="16" t="n">
        <v>2017</v>
      </c>
      <c r="W8" s="16" t="n">
        <v>2017</v>
      </c>
      <c r="X8" s="16" t="n">
        <v>2017</v>
      </c>
      <c r="Y8" s="16" t="n">
        <v>2017</v>
      </c>
      <c r="Z8" s="16" t="n">
        <v>2018</v>
      </c>
      <c r="AA8" s="16" t="n">
        <v>2018</v>
      </c>
      <c r="AB8" s="16" t="n">
        <v>2018</v>
      </c>
      <c r="AC8" s="16" t="n">
        <v>2018</v>
      </c>
      <c r="AD8" s="16" t="n">
        <v>2019</v>
      </c>
      <c r="AE8" s="16" t="n">
        <v>2019</v>
      </c>
      <c r="AF8" s="16" t="n">
        <v>2019</v>
      </c>
      <c r="AG8" s="16" t="n">
        <v>2019</v>
      </c>
      <c r="AH8" s="16" t="n">
        <v>2020</v>
      </c>
      <c r="AI8" s="16" t="n">
        <v>2020</v>
      </c>
      <c r="AJ8" s="16" t="n">
        <v>2020</v>
      </c>
      <c r="AK8" s="16" t="n">
        <v>2020</v>
      </c>
      <c r="AL8" s="16" t="n">
        <v>2021</v>
      </c>
      <c r="AM8" s="16" t="n">
        <v>2021</v>
      </c>
      <c r="AN8" s="16" t="n">
        <v>2021</v>
      </c>
      <c r="AO8" s="16" t="n">
        <v>2021</v>
      </c>
      <c r="AP8" s="16" t="n">
        <v>2022</v>
      </c>
      <c r="AQ8" s="16" t="n">
        <v>2022</v>
      </c>
      <c r="AR8" s="16" t="n">
        <v>2022</v>
      </c>
      <c r="AS8" s="16" t="n">
        <v>2022</v>
      </c>
      <c r="AT8" s="16" t="n">
        <v>2023</v>
      </c>
      <c r="AU8" s="16" t="n">
        <v>2023</v>
      </c>
      <c r="AV8" s="16" t="n">
        <v>2023</v>
      </c>
      <c r="AW8" s="16" t="n">
        <v>2023</v>
      </c>
      <c r="AX8" s="16" t="n">
        <v>2024</v>
      </c>
      <c r="AY8" s="16" t="n">
        <v>2024</v>
      </c>
      <c r="AZ8" s="16" t="n">
        <v>2024</v>
      </c>
      <c r="BA8" s="16" t="n">
        <v>2024</v>
      </c>
      <c r="BB8" s="16" t="n">
        <v>2025</v>
      </c>
      <c r="BC8" s="16" t="n">
        <v>2025</v>
      </c>
      <c r="BD8" s="16" t="n">
        <v>2025</v>
      </c>
      <c r="BE8" s="16" t="n">
        <v>2025</v>
      </c>
      <c r="BF8" s="16" t="n">
        <v>2026</v>
      </c>
      <c r="BG8" s="16" t="n">
        <v>2026</v>
      </c>
      <c r="BH8" s="18" t="n">
        <v>2026</v>
      </c>
      <c r="BI8" s="18" t="n">
        <v>2026</v>
      </c>
      <c r="BJ8" s="18" t="n">
        <v>2027</v>
      </c>
      <c r="BK8" s="18" t="n">
        <v>2027</v>
      </c>
      <c r="BL8" s="18" t="n">
        <v>2027</v>
      </c>
      <c r="BM8" s="18" t="n">
        <v>2027</v>
      </c>
      <c r="BN8" s="18" t="n">
        <v>2028</v>
      </c>
      <c r="BO8" s="18" t="n">
        <v>2028</v>
      </c>
      <c r="BP8" s="18" t="n">
        <v>2028</v>
      </c>
      <c r="BQ8" s="18" t="n">
        <v>2028</v>
      </c>
    </row>
    <row r="9">
      <c r="B9" s="5" t="inlineStr">
        <is>
          <t>Period</t>
        </is>
      </c>
      <c r="D9" s="12" t="inlineStr">
        <is>
          <t>FY2016</t>
        </is>
      </c>
      <c r="E9" s="12" t="inlineStr">
        <is>
          <t>FY2017</t>
        </is>
      </c>
      <c r="F9" s="12" t="inlineStr">
        <is>
          <t>FY2018</t>
        </is>
      </c>
      <c r="G9" s="12" t="inlineStr">
        <is>
          <t>FY2019</t>
        </is>
      </c>
      <c r="H9" s="12" t="inlineStr">
        <is>
          <t>FY2020</t>
        </is>
      </c>
      <c r="I9" s="12" t="inlineStr">
        <is>
          <t>FY2021</t>
        </is>
      </c>
      <c r="J9" s="12" t="inlineStr">
        <is>
          <t>FY2022</t>
        </is>
      </c>
      <c r="K9" s="12" t="inlineStr">
        <is>
          <t>FY2023</t>
        </is>
      </c>
      <c r="L9" s="12" t="inlineStr">
        <is>
          <t>FY2024</t>
        </is>
      </c>
      <c r="M9" s="12" t="inlineStr">
        <is>
          <t>FY2025</t>
        </is>
      </c>
      <c r="N9" s="13" t="inlineStr">
        <is>
          <t>FY2026</t>
        </is>
      </c>
      <c r="O9" s="14" t="inlineStr">
        <is>
          <t>FY2027</t>
        </is>
      </c>
      <c r="P9" s="14" t="inlineStr">
        <is>
          <t>FY2028</t>
        </is>
      </c>
      <c r="Q9" s="2" t="n"/>
      <c r="R9" s="12" t="inlineStr">
        <is>
          <t>Q1 2016</t>
        </is>
      </c>
      <c r="S9" s="12" t="inlineStr">
        <is>
          <t>Q2 2016</t>
        </is>
      </c>
      <c r="T9" s="12" t="inlineStr">
        <is>
          <t>Q3 2016</t>
        </is>
      </c>
      <c r="U9" s="12" t="inlineStr">
        <is>
          <t>Q4 2016</t>
        </is>
      </c>
      <c r="V9" s="12" t="inlineStr">
        <is>
          <t>Q1 2017</t>
        </is>
      </c>
      <c r="W9" s="12" t="inlineStr">
        <is>
          <t>Q2 2017</t>
        </is>
      </c>
      <c r="X9" s="12" t="inlineStr">
        <is>
          <t>Q3 2017</t>
        </is>
      </c>
      <c r="Y9" s="12" t="inlineStr">
        <is>
          <t>Q4 2017</t>
        </is>
      </c>
      <c r="Z9" s="12" t="inlineStr">
        <is>
          <t>Q1 2018</t>
        </is>
      </c>
      <c r="AA9" s="12" t="inlineStr">
        <is>
          <t>Q2 2018</t>
        </is>
      </c>
      <c r="AB9" s="12" t="inlineStr">
        <is>
          <t>Q3 2018</t>
        </is>
      </c>
      <c r="AC9" s="12" t="inlineStr">
        <is>
          <t>Q4 2018</t>
        </is>
      </c>
      <c r="AD9" s="12" t="inlineStr">
        <is>
          <t>Q1 2019</t>
        </is>
      </c>
      <c r="AE9" s="12" t="inlineStr">
        <is>
          <t>Q2 2019</t>
        </is>
      </c>
      <c r="AF9" s="12" t="inlineStr">
        <is>
          <t>Q3 2019</t>
        </is>
      </c>
      <c r="AG9" s="12" t="inlineStr">
        <is>
          <t>Q4 2019</t>
        </is>
      </c>
      <c r="AH9" s="12" t="inlineStr">
        <is>
          <t>Q1 2020</t>
        </is>
      </c>
      <c r="AI9" s="12" t="inlineStr">
        <is>
          <t>Q2 2020</t>
        </is>
      </c>
      <c r="AJ9" s="12" t="inlineStr">
        <is>
          <t>Q3 2020</t>
        </is>
      </c>
      <c r="AK9" s="12" t="inlineStr">
        <is>
          <t>Q4 2020</t>
        </is>
      </c>
      <c r="AL9" s="12" t="inlineStr">
        <is>
          <t>Q1 2021</t>
        </is>
      </c>
      <c r="AM9" s="12" t="inlineStr">
        <is>
          <t>Q2 2021</t>
        </is>
      </c>
      <c r="AN9" s="12" t="inlineStr">
        <is>
          <t>Q3 2021</t>
        </is>
      </c>
      <c r="AO9" s="12" t="inlineStr">
        <is>
          <t>Q4 2021</t>
        </is>
      </c>
      <c r="AP9" s="12" t="inlineStr">
        <is>
          <t>Q1 2022</t>
        </is>
      </c>
      <c r="AQ9" s="12" t="inlineStr">
        <is>
          <t>Q2 2022</t>
        </is>
      </c>
      <c r="AR9" s="12" t="inlineStr">
        <is>
          <t>Q3 2022</t>
        </is>
      </c>
      <c r="AS9" s="12" t="inlineStr">
        <is>
          <t>Q4 2022</t>
        </is>
      </c>
      <c r="AT9" s="12" t="inlineStr">
        <is>
          <t>Q1 2023</t>
        </is>
      </c>
      <c r="AU9" s="12" t="inlineStr">
        <is>
          <t>Q2 2023</t>
        </is>
      </c>
      <c r="AV9" s="12" t="inlineStr">
        <is>
          <t>Q3 2023</t>
        </is>
      </c>
      <c r="AW9" s="12" t="inlineStr">
        <is>
          <t>Q4 2023</t>
        </is>
      </c>
      <c r="AX9" s="12" t="inlineStr">
        <is>
          <t>Q1 2024</t>
        </is>
      </c>
      <c r="AY9" s="12" t="inlineStr">
        <is>
          <t>Q2 2024</t>
        </is>
      </c>
      <c r="AZ9" s="12" t="inlineStr">
        <is>
          <t>Q3 2024</t>
        </is>
      </c>
      <c r="BA9" s="12" t="inlineStr">
        <is>
          <t>Q4 2024</t>
        </is>
      </c>
      <c r="BB9" s="12" t="inlineStr">
        <is>
          <t>Q1 2025</t>
        </is>
      </c>
      <c r="BC9" s="12" t="inlineStr">
        <is>
          <t>Q2 2025</t>
        </is>
      </c>
      <c r="BD9" s="12" t="inlineStr">
        <is>
          <t>Q3 2025</t>
        </is>
      </c>
      <c r="BE9" s="12" t="inlineStr">
        <is>
          <t>Q4 2025</t>
        </is>
      </c>
      <c r="BF9" s="12" t="inlineStr">
        <is>
          <t>Q1 2026</t>
        </is>
      </c>
      <c r="BG9" s="12" t="inlineStr">
        <is>
          <t>Q2 2026</t>
        </is>
      </c>
      <c r="BH9" s="14" t="inlineStr">
        <is>
          <t>Q3 2026</t>
        </is>
      </c>
      <c r="BI9" s="14" t="inlineStr">
        <is>
          <t>Q4 2026</t>
        </is>
      </c>
      <c r="BJ9" s="14" t="inlineStr">
        <is>
          <t>Q1 2027</t>
        </is>
      </c>
      <c r="BK9" s="14" t="inlineStr">
        <is>
          <t>Q2 2027</t>
        </is>
      </c>
      <c r="BL9" s="14" t="inlineStr">
        <is>
          <t>Q3 2027</t>
        </is>
      </c>
      <c r="BM9" s="14" t="inlineStr">
        <is>
          <t>Q4 2027</t>
        </is>
      </c>
      <c r="BN9" s="14" t="inlineStr">
        <is>
          <t>Q1 2028</t>
        </is>
      </c>
      <c r="BO9" s="14" t="inlineStr">
        <is>
          <t>Q2 2028</t>
        </is>
      </c>
      <c r="BP9" s="14" t="inlineStr">
        <is>
          <t>Q3 2028</t>
        </is>
      </c>
      <c r="BQ9" s="14" t="inlineStr">
        <is>
          <t>Q4 2028</t>
        </is>
      </c>
    </row>
    <row r="10">
      <c r="B10" s="5" t="inlineStr">
        <is>
          <t>Status</t>
        </is>
      </c>
      <c r="D10" s="19" t="inlineStr">
        <is>
          <t>Actual</t>
        </is>
      </c>
      <c r="E10" s="19" t="inlineStr">
        <is>
          <t>Actual</t>
        </is>
      </c>
      <c r="F10" s="19" t="inlineStr">
        <is>
          <t>Actual</t>
        </is>
      </c>
      <c r="G10" s="19" t="inlineStr">
        <is>
          <t>Actual</t>
        </is>
      </c>
      <c r="H10" s="19" t="inlineStr">
        <is>
          <t>Actual</t>
        </is>
      </c>
      <c r="I10" s="19" t="inlineStr">
        <is>
          <t>Actual</t>
        </is>
      </c>
      <c r="J10" s="19" t="inlineStr">
        <is>
          <t>Actual</t>
        </is>
      </c>
      <c r="K10" s="19" t="inlineStr">
        <is>
          <t>Actual</t>
        </is>
      </c>
      <c r="L10" s="19" t="inlineStr">
        <is>
          <t>Actual</t>
        </is>
      </c>
      <c r="M10" s="19" t="inlineStr">
        <is>
          <t>Actual</t>
        </is>
      </c>
      <c r="N10" s="20" t="inlineStr">
        <is>
          <t>Actual+Forecast</t>
        </is>
      </c>
      <c r="O10" s="21" t="inlineStr">
        <is>
          <t>Forecast</t>
        </is>
      </c>
      <c r="P10" s="21" t="inlineStr">
        <is>
          <t>Forecast</t>
        </is>
      </c>
      <c r="Q10" s="2" t="n"/>
      <c r="R10" s="19" t="inlineStr">
        <is>
          <t>Actual</t>
        </is>
      </c>
      <c r="S10" s="19" t="inlineStr">
        <is>
          <t>Actual</t>
        </is>
      </c>
      <c r="T10" s="19" t="inlineStr">
        <is>
          <t>Actual</t>
        </is>
      </c>
      <c r="U10" s="19" t="inlineStr">
        <is>
          <t>Actual</t>
        </is>
      </c>
      <c r="V10" s="19" t="inlineStr">
        <is>
          <t>Actual</t>
        </is>
      </c>
      <c r="W10" s="19" t="inlineStr">
        <is>
          <t>Actual</t>
        </is>
      </c>
      <c r="X10" s="19" t="inlineStr">
        <is>
          <t>Actual</t>
        </is>
      </c>
      <c r="Y10" s="19" t="inlineStr">
        <is>
          <t>Actual</t>
        </is>
      </c>
      <c r="Z10" s="19" t="inlineStr">
        <is>
          <t>Actual</t>
        </is>
      </c>
      <c r="AA10" s="19" t="inlineStr">
        <is>
          <t>Actual</t>
        </is>
      </c>
      <c r="AB10" s="19" t="inlineStr">
        <is>
          <t>Actual</t>
        </is>
      </c>
      <c r="AC10" s="19" t="inlineStr">
        <is>
          <t>Actual</t>
        </is>
      </c>
      <c r="AD10" s="19" t="inlineStr">
        <is>
          <t>Actual</t>
        </is>
      </c>
      <c r="AE10" s="19" t="inlineStr">
        <is>
          <t>Actual</t>
        </is>
      </c>
      <c r="AF10" s="19" t="inlineStr">
        <is>
          <t>Actual</t>
        </is>
      </c>
      <c r="AG10" s="19" t="inlineStr">
        <is>
          <t>Actual</t>
        </is>
      </c>
      <c r="AH10" s="19" t="inlineStr">
        <is>
          <t>Actual</t>
        </is>
      </c>
      <c r="AI10" s="19" t="inlineStr">
        <is>
          <t>Actual</t>
        </is>
      </c>
      <c r="AJ10" s="19" t="inlineStr">
        <is>
          <t>Actual</t>
        </is>
      </c>
      <c r="AK10" s="19" t="inlineStr">
        <is>
          <t>Actual</t>
        </is>
      </c>
      <c r="AL10" s="19" t="inlineStr">
        <is>
          <t>Actual</t>
        </is>
      </c>
      <c r="AM10" s="19" t="inlineStr">
        <is>
          <t>Actual</t>
        </is>
      </c>
      <c r="AN10" s="19" t="inlineStr">
        <is>
          <t>Actual</t>
        </is>
      </c>
      <c r="AO10" s="19" t="inlineStr">
        <is>
          <t>Actual</t>
        </is>
      </c>
      <c r="AP10" s="19" t="inlineStr">
        <is>
          <t>Actual</t>
        </is>
      </c>
      <c r="AQ10" s="19" t="inlineStr">
        <is>
          <t>Actual</t>
        </is>
      </c>
      <c r="AR10" s="19" t="inlineStr">
        <is>
          <t>Actual</t>
        </is>
      </c>
      <c r="AS10" s="19" t="inlineStr">
        <is>
          <t>Actual</t>
        </is>
      </c>
      <c r="AT10" s="19" t="inlineStr">
        <is>
          <t>Actual</t>
        </is>
      </c>
      <c r="AU10" s="19" t="inlineStr">
        <is>
          <t>Actual</t>
        </is>
      </c>
      <c r="AV10" s="19" t="inlineStr">
        <is>
          <t>Actual</t>
        </is>
      </c>
      <c r="AW10" s="19" t="inlineStr">
        <is>
          <t>Actual</t>
        </is>
      </c>
      <c r="AX10" s="19" t="inlineStr">
        <is>
          <t>Actual</t>
        </is>
      </c>
      <c r="AY10" s="19" t="inlineStr">
        <is>
          <t>Actual</t>
        </is>
      </c>
      <c r="AZ10" s="19" t="inlineStr">
        <is>
          <t>Actual</t>
        </is>
      </c>
      <c r="BA10" s="19" t="inlineStr">
        <is>
          <t>Actual</t>
        </is>
      </c>
      <c r="BB10" s="19" t="inlineStr">
        <is>
          <t>Actual</t>
        </is>
      </c>
      <c r="BC10" s="19" t="inlineStr">
        <is>
          <t>Actual</t>
        </is>
      </c>
      <c r="BD10" s="19" t="inlineStr">
        <is>
          <t>Actual</t>
        </is>
      </c>
      <c r="BE10" s="19" t="inlineStr">
        <is>
          <t>Actual</t>
        </is>
      </c>
      <c r="BF10" s="19" t="inlineStr">
        <is>
          <t>Actual</t>
        </is>
      </c>
      <c r="BG10" s="19" t="inlineStr">
        <is>
          <t>Actual</t>
        </is>
      </c>
      <c r="BH10" s="21" t="inlineStr">
        <is>
          <t>Forecast</t>
        </is>
      </c>
      <c r="BI10" s="21" t="inlineStr">
        <is>
          <t>Forecast</t>
        </is>
      </c>
      <c r="BJ10" s="21" t="inlineStr">
        <is>
          <t>Forecast</t>
        </is>
      </c>
      <c r="BK10" s="21" t="inlineStr">
        <is>
          <t>Forecast</t>
        </is>
      </c>
      <c r="BL10" s="21" t="inlineStr">
        <is>
          <t>Forecast</t>
        </is>
      </c>
      <c r="BM10" s="21" t="inlineStr">
        <is>
          <t>Forecast</t>
        </is>
      </c>
      <c r="BN10" s="21" t="inlineStr">
        <is>
          <t>Forecast</t>
        </is>
      </c>
      <c r="BO10" s="21" t="inlineStr">
        <is>
          <t>Forecast</t>
        </is>
      </c>
      <c r="BP10" s="21" t="inlineStr">
        <is>
          <t>Forecast</t>
        </is>
      </c>
      <c r="BQ10" s="21" t="inlineStr">
        <is>
          <t>Forecast</t>
        </is>
      </c>
    </row>
    <row r="11">
      <c r="B11" s="5" t="inlineStr">
        <is>
          <t>Days in period</t>
        </is>
      </c>
      <c r="D11" s="22" t="n">
        <v>365</v>
      </c>
      <c r="E11" s="22" t="n">
        <v>365</v>
      </c>
      <c r="F11" s="22" t="n">
        <v>365</v>
      </c>
      <c r="G11" s="22" t="n">
        <v>365</v>
      </c>
      <c r="H11" s="22" t="n">
        <v>365</v>
      </c>
      <c r="I11" s="22" t="n">
        <v>365</v>
      </c>
      <c r="J11" s="22" t="n">
        <v>365</v>
      </c>
      <c r="K11" s="22" t="n">
        <v>365</v>
      </c>
      <c r="L11" s="22" t="n">
        <v>365</v>
      </c>
      <c r="M11" s="22" t="n">
        <v>365</v>
      </c>
      <c r="N11" s="23" t="n">
        <v>365</v>
      </c>
      <c r="O11" s="24" t="n">
        <v>365</v>
      </c>
      <c r="P11" s="24" t="n">
        <v>365</v>
      </c>
      <c r="Q11" s="2" t="n"/>
      <c r="R11" s="22" t="n">
        <v>91</v>
      </c>
      <c r="S11" s="22" t="n">
        <v>91</v>
      </c>
      <c r="T11" s="22" t="n">
        <v>91</v>
      </c>
      <c r="U11" s="22" t="n">
        <v>92</v>
      </c>
      <c r="V11" s="22" t="n">
        <v>91</v>
      </c>
      <c r="W11" s="22" t="n">
        <v>91</v>
      </c>
      <c r="X11" s="22" t="n">
        <v>91</v>
      </c>
      <c r="Y11" s="22" t="n">
        <v>92</v>
      </c>
      <c r="Z11" s="22" t="n">
        <v>91</v>
      </c>
      <c r="AA11" s="22" t="n">
        <v>91</v>
      </c>
      <c r="AB11" s="22" t="n">
        <v>91</v>
      </c>
      <c r="AC11" s="22" t="n">
        <v>92</v>
      </c>
      <c r="AD11" s="22" t="n">
        <v>91</v>
      </c>
      <c r="AE11" s="22" t="n">
        <v>91</v>
      </c>
      <c r="AF11" s="22" t="n">
        <v>91</v>
      </c>
      <c r="AG11" s="22" t="n">
        <v>92</v>
      </c>
      <c r="AH11" s="22" t="n">
        <v>91</v>
      </c>
      <c r="AI11" s="22" t="n">
        <v>91</v>
      </c>
      <c r="AJ11" s="22" t="n">
        <v>91</v>
      </c>
      <c r="AK11" s="22" t="n">
        <v>92</v>
      </c>
      <c r="AL11" s="22" t="n">
        <v>91</v>
      </c>
      <c r="AM11" s="22" t="n">
        <v>91</v>
      </c>
      <c r="AN11" s="22" t="n">
        <v>91</v>
      </c>
      <c r="AO11" s="22" t="n">
        <v>92</v>
      </c>
      <c r="AP11" s="22" t="n">
        <v>91</v>
      </c>
      <c r="AQ11" s="22" t="n">
        <v>91</v>
      </c>
      <c r="AR11" s="22" t="n">
        <v>91</v>
      </c>
      <c r="AS11" s="22" t="n">
        <v>92</v>
      </c>
      <c r="AT11" s="22" t="n">
        <v>91</v>
      </c>
      <c r="AU11" s="22" t="n">
        <v>91</v>
      </c>
      <c r="AV11" s="22" t="n">
        <v>91</v>
      </c>
      <c r="AW11" s="22" t="n">
        <v>92</v>
      </c>
      <c r="AX11" s="22" t="n">
        <v>91</v>
      </c>
      <c r="AY11" s="22" t="n">
        <v>91</v>
      </c>
      <c r="AZ11" s="22" t="n">
        <v>91</v>
      </c>
      <c r="BA11" s="22" t="n">
        <v>92</v>
      </c>
      <c r="BB11" s="22" t="n">
        <v>91</v>
      </c>
      <c r="BC11" s="22" t="n">
        <v>91</v>
      </c>
      <c r="BD11" s="22" t="n">
        <v>91</v>
      </c>
      <c r="BE11" s="22" t="n">
        <v>92</v>
      </c>
      <c r="BF11" s="22" t="n">
        <v>91</v>
      </c>
      <c r="BG11" s="22" t="n">
        <v>91</v>
      </c>
      <c r="BH11" s="24" t="n">
        <v>91</v>
      </c>
      <c r="BI11" s="24" t="n">
        <v>92</v>
      </c>
      <c r="BJ11" s="24" t="n">
        <v>91</v>
      </c>
      <c r="BK11" s="24" t="n">
        <v>91</v>
      </c>
      <c r="BL11" s="24" t="n">
        <v>91</v>
      </c>
      <c r="BM11" s="24" t="n">
        <v>92</v>
      </c>
      <c r="BN11" s="24" t="n">
        <v>91</v>
      </c>
      <c r="BO11" s="24" t="n">
        <v>91</v>
      </c>
      <c r="BP11" s="24" t="n">
        <v>91</v>
      </c>
      <c r="BQ11" s="24" t="n">
        <v>92</v>
      </c>
    </row>
    <row r="13">
      <c r="A13" s="25" t="inlineStr">
        <is>
          <t>I.  REVENUE DRIVERS  —  InP 衬底量价拆分 / GaAs / Ge / Raw Materials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  <c r="BK13" s="26" t="n"/>
      <c r="BL13" s="26" t="n"/>
      <c r="BM13" s="26" t="n"/>
      <c r="BN13" s="26" t="n"/>
      <c r="BO13" s="26" t="n"/>
      <c r="BP13" s="26" t="n"/>
      <c r="BQ13" s="26" t="n"/>
      <c r="BR13" s="26" t="inlineStr"/>
    </row>
    <row r="15">
      <c r="A15" s="4" t="inlineStr">
        <is>
          <t>InP</t>
        </is>
      </c>
      <c r="B15" s="7" t="inlineStr">
        <is>
          <t>InP wafers sold</t>
        </is>
      </c>
      <c r="C15" s="4" t="inlineStr">
        <is>
          <t>k wafers</t>
        </is>
      </c>
      <c r="D15" s="27">
        <f>IF(D16=0,0,D17/D16)</f>
        <v/>
      </c>
      <c r="E15" s="27">
        <f>IF(E16=0,0,E17/E16)</f>
        <v/>
      </c>
      <c r="F15" s="27">
        <f>IF(F16=0,0,F17/F16)</f>
        <v/>
      </c>
      <c r="G15" s="27">
        <f>IF(G16=0,0,G17/G16)</f>
        <v/>
      </c>
      <c r="H15" s="27">
        <f>IF(H16=0,0,H17/H16)</f>
        <v/>
      </c>
      <c r="I15" s="27">
        <f>IF(I16=0,0,I17/I16)</f>
        <v/>
      </c>
      <c r="J15" s="27">
        <f>IF(J16=0,0,J17/J16)</f>
        <v/>
      </c>
      <c r="K15" s="27">
        <f>IF(K16=0,0,K17/K16)</f>
        <v/>
      </c>
      <c r="L15" s="27">
        <f>IF(L16=0,0,L17/L16)</f>
        <v/>
      </c>
      <c r="M15" s="27">
        <f>IF(M16=0,0,M17/M16)</f>
        <v/>
      </c>
      <c r="N15" s="28" t="inlineStr">
        <is>
          <t>BF15+BG15+BH15+BI15</t>
        </is>
      </c>
      <c r="O15" s="29" t="inlineStr">
        <is>
          <t>BJ15+BK15+BL15+BM15</t>
        </is>
      </c>
      <c r="P15" s="29" t="inlineStr">
        <is>
          <t>BN15+BO15+BP15+BQ15</t>
        </is>
      </c>
      <c r="R15" s="27">
        <f>IF(R16=0,0,R17/R16)</f>
        <v/>
      </c>
      <c r="S15" s="27">
        <f>IF(S16=0,0,S17/S16)</f>
        <v/>
      </c>
      <c r="T15" s="27">
        <f>IF(T16=0,0,T17/T16)</f>
        <v/>
      </c>
      <c r="U15" s="27">
        <f>IF(U16=0,0,U17/U16)</f>
        <v/>
      </c>
      <c r="V15" s="27">
        <f>IF(V16=0,0,V17/V16)</f>
        <v/>
      </c>
      <c r="W15" s="27">
        <f>IF(W16=0,0,W17/W16)</f>
        <v/>
      </c>
      <c r="X15" s="27">
        <f>IF(X16=0,0,X17/X16)</f>
        <v/>
      </c>
      <c r="Y15" s="27">
        <f>IF(Y16=0,0,Y17/Y16)</f>
        <v/>
      </c>
      <c r="Z15" s="27">
        <f>IF(Z16=0,0,Z17/Z16)</f>
        <v/>
      </c>
      <c r="AA15" s="27">
        <f>IF(AA16=0,0,AA17/AA16)</f>
        <v/>
      </c>
      <c r="AB15" s="27">
        <f>IF(AB16=0,0,AB17/AB16)</f>
        <v/>
      </c>
      <c r="AC15" s="27">
        <f>IF(AC16=0,0,AC17/AC16)</f>
        <v/>
      </c>
      <c r="AD15" s="27">
        <f>IF(AD16=0,0,AD17/AD16)</f>
        <v/>
      </c>
      <c r="AE15" s="27">
        <f>IF(AE16=0,0,AE17/AE16)</f>
        <v/>
      </c>
      <c r="AF15" s="27">
        <f>IF(AF16=0,0,AF17/AF16)</f>
        <v/>
      </c>
      <c r="AG15" s="27">
        <f>IF(AG16=0,0,AG17/AG16)</f>
        <v/>
      </c>
      <c r="AH15" s="27">
        <f>IF(AH16=0,0,AH17/AH16)</f>
        <v/>
      </c>
      <c r="AI15" s="27">
        <f>IF(AI16=0,0,AI17/AI16)</f>
        <v/>
      </c>
      <c r="AJ15" s="27">
        <f>IF(AJ16=0,0,AJ17/AJ16)</f>
        <v/>
      </c>
      <c r="AK15" s="27">
        <f>IF(AK16=0,0,AK17/AK16)</f>
        <v/>
      </c>
      <c r="AL15" s="27">
        <f>IF(AL16=0,0,AL17/AL16)</f>
        <v/>
      </c>
      <c r="AM15" s="27">
        <f>IF(AM16=0,0,AM17/AM16)</f>
        <v/>
      </c>
      <c r="AN15" s="27">
        <f>IF(AN16=0,0,AN17/AN16)</f>
        <v/>
      </c>
      <c r="AO15" s="27">
        <f>IF(AO16=0,0,AO17/AO16)</f>
        <v/>
      </c>
      <c r="AP15" s="27">
        <f>IF(AP16=0,0,AP17/AP16)</f>
        <v/>
      </c>
      <c r="AQ15" s="27">
        <f>IF(AQ16=0,0,AQ17/AQ16)</f>
        <v/>
      </c>
      <c r="AR15" s="27">
        <f>IF(AR16=0,0,AR17/AR16)</f>
        <v/>
      </c>
      <c r="AS15" s="27">
        <f>IF(AS16=0,0,AS17/AS16)</f>
        <v/>
      </c>
      <c r="AT15" s="27">
        <f>IF(AT16=0,0,AT17/AT16)</f>
        <v/>
      </c>
      <c r="AU15" s="27">
        <f>IF(AU16=0,0,AU17/AU16)</f>
        <v/>
      </c>
      <c r="AV15" s="27">
        <f>IF(AV16=0,0,AV17/AV16)</f>
        <v/>
      </c>
      <c r="AW15" s="27">
        <f>IF(AW16=0,0,AW17/AW16)</f>
        <v/>
      </c>
      <c r="AX15" s="27">
        <f>IF(AX16=0,0,AX17/AX16)</f>
        <v/>
      </c>
      <c r="AY15" s="27">
        <f>IF(AY16=0,0,AY17/AY16)</f>
        <v/>
      </c>
      <c r="AZ15" s="27">
        <f>IF(AZ16=0,0,AZ17/AZ16)</f>
        <v/>
      </c>
      <c r="BA15" s="27">
        <f>IF(BA16=0,0,BA17/BA16)</f>
        <v/>
      </c>
      <c r="BB15" s="27">
        <f>IF(BB16=0,0,BB17/BB16)</f>
        <v/>
      </c>
      <c r="BC15" s="27">
        <f>IF(BC16=0,0,BC17/BC16)</f>
        <v/>
      </c>
      <c r="BD15" s="27">
        <f>IF(BD16=0,0,BD17/BD16)</f>
        <v/>
      </c>
      <c r="BE15" s="27">
        <f>IF(BE16=0,0,BE17/BE16)</f>
        <v/>
      </c>
      <c r="BF15" s="27">
        <f>IF(BF16=0,0,BF17/BF16)</f>
        <v/>
      </c>
      <c r="BG15" s="27">
        <f>IF(BG16=0,0,BG17/BG16)</f>
        <v/>
      </c>
      <c r="BH15" s="30" t="n">
        <v>62</v>
      </c>
      <c r="BI15" s="30" t="n">
        <v>66</v>
      </c>
      <c r="BJ15" s="30" t="n">
        <v>72</v>
      </c>
      <c r="BK15" s="30" t="n">
        <v>82</v>
      </c>
      <c r="BL15" s="30" t="n">
        <v>95</v>
      </c>
      <c r="BM15" s="30" t="n">
        <v>108</v>
      </c>
      <c r="BN15" s="30" t="n">
        <v>115</v>
      </c>
      <c r="BO15" s="30" t="n">
        <v>122</v>
      </c>
      <c r="BP15" s="30" t="n">
        <v>128</v>
      </c>
      <c r="BQ15" s="30" t="n">
        <v>135</v>
      </c>
      <c r="BR15" s="31" t="inlineStr">
        <is>
          <t>磷化铟衬底出货量。历史=InP收入/ASP（公式）；预测=产能爬坡假设（蓝）。Q4'25产能受限（出口许可）；管理层指引2026年底InP产能约$35m/季、2027再翻倍至$65-70m/季。</t>
        </is>
      </c>
    </row>
    <row r="16">
      <c r="A16" s="4" t="inlineStr">
        <is>
          <t>InP</t>
        </is>
      </c>
      <c r="B16" s="7" t="inlineStr">
        <is>
          <t>InP blended ASP</t>
        </is>
      </c>
      <c r="C16" s="4" t="inlineStr">
        <is>
          <t>$ / wafer</t>
        </is>
      </c>
      <c r="D16" s="32" t="n">
        <v>185</v>
      </c>
      <c r="E16" s="32" t="n">
        <v>195</v>
      </c>
      <c r="F16" s="32" t="n">
        <v>205</v>
      </c>
      <c r="G16" s="32" t="n">
        <v>220</v>
      </c>
      <c r="H16" s="32" t="n">
        <v>245</v>
      </c>
      <c r="I16" s="32" t="n">
        <v>280</v>
      </c>
      <c r="J16" s="32" t="n">
        <v>310</v>
      </c>
      <c r="K16" s="32" t="n">
        <v>340</v>
      </c>
      <c r="L16" s="32" t="n">
        <v>390</v>
      </c>
      <c r="M16" s="32" t="n">
        <v>420</v>
      </c>
      <c r="N16" s="33">
        <f>IF(N15=0,0,N17/N15)</f>
        <v/>
      </c>
      <c r="O16" s="34">
        <f>IF(O15=0,0,O17/O15)</f>
        <v/>
      </c>
      <c r="P16" s="34">
        <f>IF(P15=0,0,P17/P15)</f>
        <v/>
      </c>
      <c r="R16" s="32" t="n">
        <v>177</v>
      </c>
      <c r="S16" s="32" t="n">
        <v>183</v>
      </c>
      <c r="T16" s="32" t="n">
        <v>187</v>
      </c>
      <c r="U16" s="32" t="n">
        <v>193</v>
      </c>
      <c r="V16" s="32" t="n">
        <v>187</v>
      </c>
      <c r="W16" s="32" t="n">
        <v>193</v>
      </c>
      <c r="X16" s="32" t="n">
        <v>197</v>
      </c>
      <c r="Y16" s="32" t="n">
        <v>203</v>
      </c>
      <c r="Z16" s="32" t="n">
        <v>197</v>
      </c>
      <c r="AA16" s="32" t="n">
        <v>203</v>
      </c>
      <c r="AB16" s="32" t="n">
        <v>207</v>
      </c>
      <c r="AC16" s="32" t="n">
        <v>213</v>
      </c>
      <c r="AD16" s="32" t="n">
        <v>212</v>
      </c>
      <c r="AE16" s="32" t="n">
        <v>218</v>
      </c>
      <c r="AF16" s="32" t="n">
        <v>222</v>
      </c>
      <c r="AG16" s="32" t="n">
        <v>228</v>
      </c>
      <c r="AH16" s="32" t="n">
        <v>237</v>
      </c>
      <c r="AI16" s="32" t="n">
        <v>243</v>
      </c>
      <c r="AJ16" s="32" t="n">
        <v>247</v>
      </c>
      <c r="AK16" s="32" t="n">
        <v>253</v>
      </c>
      <c r="AL16" s="32" t="n">
        <v>272</v>
      </c>
      <c r="AM16" s="32" t="n">
        <v>278</v>
      </c>
      <c r="AN16" s="32" t="n">
        <v>282</v>
      </c>
      <c r="AO16" s="32" t="n">
        <v>288</v>
      </c>
      <c r="AP16" s="32" t="n">
        <v>302</v>
      </c>
      <c r="AQ16" s="32" t="n">
        <v>308</v>
      </c>
      <c r="AR16" s="32" t="n">
        <v>312</v>
      </c>
      <c r="AS16" s="32" t="n">
        <v>318</v>
      </c>
      <c r="AT16" s="32" t="n">
        <v>332</v>
      </c>
      <c r="AU16" s="32" t="n">
        <v>338</v>
      </c>
      <c r="AV16" s="32" t="n">
        <v>342</v>
      </c>
      <c r="AW16" s="32" t="n">
        <v>348</v>
      </c>
      <c r="AX16" s="32" t="n">
        <v>382</v>
      </c>
      <c r="AY16" s="32" t="n">
        <v>388</v>
      </c>
      <c r="AZ16" s="32" t="n">
        <v>392</v>
      </c>
      <c r="BA16" s="32" t="n">
        <v>398</v>
      </c>
      <c r="BB16" s="32" t="n">
        <v>412</v>
      </c>
      <c r="BC16" s="32" t="n">
        <v>418</v>
      </c>
      <c r="BD16" s="32" t="n">
        <v>422</v>
      </c>
      <c r="BE16" s="32" t="n">
        <v>428</v>
      </c>
      <c r="BF16" s="32" t="n">
        <v>480</v>
      </c>
      <c r="BG16" s="32" t="n">
        <v>510</v>
      </c>
      <c r="BH16" s="35" t="n">
        <v>530</v>
      </c>
      <c r="BI16" s="35" t="n">
        <v>545</v>
      </c>
      <c r="BJ16" s="35" t="n">
        <v>580</v>
      </c>
      <c r="BK16" s="35" t="n">
        <v>600</v>
      </c>
      <c r="BL16" s="35" t="n">
        <v>625</v>
      </c>
      <c r="BM16" s="35" t="n">
        <v>650</v>
      </c>
      <c r="BN16" s="35" t="n">
        <v>675</v>
      </c>
      <c r="BO16" s="35" t="n">
        <v>700</v>
      </c>
      <c r="BP16" s="35" t="n">
        <v>720</v>
      </c>
      <c r="BQ16" s="35" t="n">
        <v>740</v>
      </c>
      <c r="BR16" s="31" t="inlineStr">
        <is>
          <t>InP混合平均售价。公司不披露ASP，本模型按2"/3"→4"→6"直径升级路径假设。历史约$185–420；2026H1因AI光模块/硅光需求及4"占比提升至$480–510；此后随6"放量继续上行。</t>
        </is>
      </c>
    </row>
    <row r="17">
      <c r="A17" s="4" t="inlineStr">
        <is>
          <t>InP</t>
        </is>
      </c>
      <c r="B17" s="7" t="inlineStr">
        <is>
          <t>InP substrate revenue</t>
        </is>
      </c>
      <c r="C17" s="4" t="inlineStr">
        <is>
          <t>$000</t>
        </is>
      </c>
      <c r="D17" s="36" t="n">
        <v>17920</v>
      </c>
      <c r="E17" s="36" t="n">
        <v>24960</v>
      </c>
      <c r="F17" s="36" t="n">
        <v>27880</v>
      </c>
      <c r="G17" s="36" t="n">
        <v>29900</v>
      </c>
      <c r="H17" s="36" t="n">
        <v>35250</v>
      </c>
      <c r="I17" s="36" t="n">
        <v>44690</v>
      </c>
      <c r="J17" s="36" t="n">
        <v>47770</v>
      </c>
      <c r="K17" s="36" t="n">
        <v>21800</v>
      </c>
      <c r="L17" s="36" t="n">
        <v>31700</v>
      </c>
      <c r="M17" s="36" t="n">
        <v>28500</v>
      </c>
      <c r="N17" s="37" t="inlineStr">
        <is>
          <t>BF17+BG17+BH17+BI17</t>
        </is>
      </c>
      <c r="O17" s="38" t="inlineStr">
        <is>
          <t>BJ17+BK17+BL17+BM17</t>
        </is>
      </c>
      <c r="P17" s="38" t="inlineStr">
        <is>
          <t>BN17+BO17+BP17+BQ17</t>
        </is>
      </c>
      <c r="R17" s="36" t="n">
        <v>4122</v>
      </c>
      <c r="S17" s="36" t="n">
        <v>4515</v>
      </c>
      <c r="T17" s="36" t="n">
        <v>4818</v>
      </c>
      <c r="U17" s="36" t="n">
        <v>4465</v>
      </c>
      <c r="V17" s="36" t="n">
        <v>5215</v>
      </c>
      <c r="W17" s="36" t="n">
        <v>5959</v>
      </c>
      <c r="X17" s="36" t="n">
        <v>7125</v>
      </c>
      <c r="Y17" s="36" t="n">
        <v>6661</v>
      </c>
      <c r="Z17" s="36" t="n">
        <v>6649</v>
      </c>
      <c r="AA17" s="36" t="n">
        <v>7384</v>
      </c>
      <c r="AB17" s="36" t="n">
        <v>7794</v>
      </c>
      <c r="AC17" s="36" t="n">
        <v>6053</v>
      </c>
      <c r="AD17" s="36" t="n">
        <v>7257</v>
      </c>
      <c r="AE17" s="36" t="n">
        <v>8905</v>
      </c>
      <c r="AF17" s="36" t="n">
        <v>7126</v>
      </c>
      <c r="AG17" s="36" t="n">
        <v>6612</v>
      </c>
      <c r="AH17" s="36" t="n">
        <v>7660</v>
      </c>
      <c r="AI17" s="36" t="n">
        <v>8182</v>
      </c>
      <c r="AJ17" s="36" t="n">
        <v>9415</v>
      </c>
      <c r="AK17" s="36" t="n">
        <v>9993</v>
      </c>
      <c r="AL17" s="36" t="n">
        <v>10197</v>
      </c>
      <c r="AM17" s="36" t="n">
        <v>10973</v>
      </c>
      <c r="AN17" s="36" t="n">
        <v>11247</v>
      </c>
      <c r="AO17" s="36" t="n">
        <v>12273</v>
      </c>
      <c r="AP17" s="36" t="n">
        <v>13423</v>
      </c>
      <c r="AQ17" s="36" t="n">
        <v>13367</v>
      </c>
      <c r="AR17" s="36" t="n">
        <v>11910</v>
      </c>
      <c r="AS17" s="36" t="n">
        <v>9070</v>
      </c>
      <c r="AT17" s="36" t="n">
        <v>5581</v>
      </c>
      <c r="AU17" s="36" t="n">
        <v>5348</v>
      </c>
      <c r="AV17" s="36" t="n">
        <v>4995</v>
      </c>
      <c r="AW17" s="36" t="n">
        <v>5876</v>
      </c>
      <c r="AX17" s="36" t="n">
        <v>8100</v>
      </c>
      <c r="AY17" s="36" t="n">
        <v>7700</v>
      </c>
      <c r="AZ17" s="36" t="n">
        <v>6800</v>
      </c>
      <c r="BA17" s="36" t="n">
        <v>9100</v>
      </c>
      <c r="BB17" s="36" t="n">
        <v>3800</v>
      </c>
      <c r="BC17" s="36" t="n">
        <v>3600</v>
      </c>
      <c r="BD17" s="36" t="n">
        <v>13100</v>
      </c>
      <c r="BE17" s="36" t="n">
        <v>8000</v>
      </c>
      <c r="BF17" s="36" t="n">
        <v>13600</v>
      </c>
      <c r="BG17" s="36" t="n">
        <v>30700</v>
      </c>
      <c r="BH17" s="38">
        <f>BH15*BH16</f>
        <v/>
      </c>
      <c r="BI17" s="38">
        <f>BI15*BI16</f>
        <v/>
      </c>
      <c r="BJ17" s="38">
        <f>BJ15*BJ16</f>
        <v/>
      </c>
      <c r="BK17" s="38">
        <f>BK15*BK16</f>
        <v/>
      </c>
      <c r="BL17" s="38">
        <f>BL15*BL16</f>
        <v/>
      </c>
      <c r="BM17" s="38">
        <f>BM15*BM16</f>
        <v/>
      </c>
      <c r="BN17" s="38">
        <f>BN15*BN16</f>
        <v/>
      </c>
      <c r="BO17" s="38">
        <f>BO15*BO16</f>
        <v/>
      </c>
      <c r="BP17" s="38">
        <f>BP15*BP16</f>
        <v/>
      </c>
      <c r="BQ17" s="38">
        <f>BQ15*BQ16</f>
        <v/>
      </c>
      <c r="BR17" s="31" t="inlineStr">
        <is>
          <t>InP收入=出货量(k)*ASP。2024–2026H1用财报电话会披露值硬编码；更早年度按衬底收入占比估算（见年度产品拆分）。Q2'26 InP创纪录$30.7m。</t>
        </is>
      </c>
    </row>
    <row r="18">
      <c r="A18" s="4" t="inlineStr">
        <is>
          <t>InP</t>
        </is>
      </c>
      <c r="B18" s="7" t="inlineStr">
        <is>
          <t>InP unit COGS</t>
        </is>
      </c>
      <c r="C18" s="4" t="inlineStr">
        <is>
          <t>$ / wafer</t>
        </is>
      </c>
      <c r="D18" s="32" t="n">
        <v>125</v>
      </c>
      <c r="E18" s="32" t="n">
        <v>128</v>
      </c>
      <c r="F18" s="32" t="n">
        <v>132</v>
      </c>
      <c r="G18" s="32" t="n">
        <v>145</v>
      </c>
      <c r="H18" s="32" t="n">
        <v>155</v>
      </c>
      <c r="I18" s="32" t="n">
        <v>175</v>
      </c>
      <c r="J18" s="32" t="n">
        <v>185</v>
      </c>
      <c r="K18" s="32" t="n">
        <v>255</v>
      </c>
      <c r="L18" s="32" t="n">
        <v>245</v>
      </c>
      <c r="M18" s="32" t="n">
        <v>285</v>
      </c>
      <c r="N18" s="33">
        <f>IF(N15=0,0,N21/N15)</f>
        <v/>
      </c>
      <c r="O18" s="34">
        <f>IF(O15=0,0,O21/O15)</f>
        <v/>
      </c>
      <c r="P18" s="34">
        <f>IF(P15=0,0,P21/P15)</f>
        <v/>
      </c>
      <c r="R18" s="32" t="n">
        <v>130</v>
      </c>
      <c r="S18" s="32" t="n">
        <v>125</v>
      </c>
      <c r="T18" s="32" t="n">
        <v>122</v>
      </c>
      <c r="U18" s="32" t="n">
        <v>123</v>
      </c>
      <c r="V18" s="32" t="n">
        <v>133</v>
      </c>
      <c r="W18" s="32" t="n">
        <v>128</v>
      </c>
      <c r="X18" s="32" t="n">
        <v>125</v>
      </c>
      <c r="Y18" s="32" t="n">
        <v>126</v>
      </c>
      <c r="Z18" s="32" t="n">
        <v>137</v>
      </c>
      <c r="AA18" s="32" t="n">
        <v>132</v>
      </c>
      <c r="AB18" s="32" t="n">
        <v>129</v>
      </c>
      <c r="AC18" s="32" t="n">
        <v>130</v>
      </c>
      <c r="AD18" s="32" t="n">
        <v>150</v>
      </c>
      <c r="AE18" s="32" t="n">
        <v>145</v>
      </c>
      <c r="AF18" s="32" t="n">
        <v>142</v>
      </c>
      <c r="AG18" s="32" t="n">
        <v>143</v>
      </c>
      <c r="AH18" s="32" t="n">
        <v>160</v>
      </c>
      <c r="AI18" s="32" t="n">
        <v>155</v>
      </c>
      <c r="AJ18" s="32" t="n">
        <v>152</v>
      </c>
      <c r="AK18" s="32" t="n">
        <v>153</v>
      </c>
      <c r="AL18" s="32" t="n">
        <v>180</v>
      </c>
      <c r="AM18" s="32" t="n">
        <v>175</v>
      </c>
      <c r="AN18" s="32" t="n">
        <v>172</v>
      </c>
      <c r="AO18" s="32" t="n">
        <v>173</v>
      </c>
      <c r="AP18" s="32" t="n">
        <v>190</v>
      </c>
      <c r="AQ18" s="32" t="n">
        <v>185</v>
      </c>
      <c r="AR18" s="32" t="n">
        <v>182</v>
      </c>
      <c r="AS18" s="32" t="n">
        <v>183</v>
      </c>
      <c r="AT18" s="32" t="n">
        <v>260</v>
      </c>
      <c r="AU18" s="32" t="n">
        <v>255</v>
      </c>
      <c r="AV18" s="32" t="n">
        <v>252</v>
      </c>
      <c r="AW18" s="32" t="n">
        <v>253</v>
      </c>
      <c r="AX18" s="32" t="n">
        <v>250</v>
      </c>
      <c r="AY18" s="32" t="n">
        <v>245</v>
      </c>
      <c r="AZ18" s="32" t="n">
        <v>242</v>
      </c>
      <c r="BA18" s="32" t="n">
        <v>243</v>
      </c>
      <c r="BB18" s="32" t="n">
        <v>290</v>
      </c>
      <c r="BC18" s="32" t="n">
        <v>285</v>
      </c>
      <c r="BD18" s="32" t="n">
        <v>282</v>
      </c>
      <c r="BE18" s="32" t="n">
        <v>283</v>
      </c>
      <c r="BF18" s="32" t="n">
        <v>270</v>
      </c>
      <c r="BG18" s="32" t="n">
        <v>250</v>
      </c>
      <c r="BH18" s="35" t="n">
        <v>248</v>
      </c>
      <c r="BI18" s="35" t="n">
        <v>252</v>
      </c>
      <c r="BJ18" s="35" t="n">
        <v>260</v>
      </c>
      <c r="BK18" s="35" t="n">
        <v>270</v>
      </c>
      <c r="BL18" s="35" t="n">
        <v>280</v>
      </c>
      <c r="BM18" s="35" t="n">
        <v>290</v>
      </c>
      <c r="BN18" s="35" t="n">
        <v>295</v>
      </c>
      <c r="BO18" s="35" t="n">
        <v>300</v>
      </c>
      <c r="BP18" s="35" t="n">
        <v>305</v>
      </c>
      <c r="BQ18" s="35" t="n">
        <v>310</v>
      </c>
      <c r="BR18" s="31" t="inlineStr">
        <is>
          <t>单片制造成本。历史按开工率反推：满产年份~$125–185，2023–25出口许可/低开工升至$250–285。预测随规模效应下降单位成本，但6"混入使绝对COGS回升、毛利率仍扩张。</t>
        </is>
      </c>
    </row>
    <row r="19">
      <c r="A19" s="4" t="inlineStr">
        <is>
          <t>InP</t>
        </is>
      </c>
      <c r="B19" s="7" t="inlineStr">
        <is>
          <t>InP unit gross profit</t>
        </is>
      </c>
      <c r="C19" s="4" t="inlineStr">
        <is>
          <t>$ / wafer</t>
        </is>
      </c>
      <c r="D19" s="39">
        <f>D16-D18</f>
        <v/>
      </c>
      <c r="E19" s="39">
        <f>E16-E18</f>
        <v/>
      </c>
      <c r="F19" s="39">
        <f>F16-F18</f>
        <v/>
      </c>
      <c r="G19" s="39">
        <f>G16-G18</f>
        <v/>
      </c>
      <c r="H19" s="39">
        <f>H16-H18</f>
        <v/>
      </c>
      <c r="I19" s="39">
        <f>I16-I18</f>
        <v/>
      </c>
      <c r="J19" s="39">
        <f>J16-J18</f>
        <v/>
      </c>
      <c r="K19" s="39">
        <f>K16-K18</f>
        <v/>
      </c>
      <c r="L19" s="39">
        <f>L16-L18</f>
        <v/>
      </c>
      <c r="M19" s="39">
        <f>M16-M18</f>
        <v/>
      </c>
      <c r="N19" s="33">
        <f>N16-N18</f>
        <v/>
      </c>
      <c r="O19" s="34">
        <f>O16-O18</f>
        <v/>
      </c>
      <c r="P19" s="34">
        <f>P16-P18</f>
        <v/>
      </c>
      <c r="R19" s="39">
        <f>R16-R18</f>
        <v/>
      </c>
      <c r="S19" s="39">
        <f>S16-S18</f>
        <v/>
      </c>
      <c r="T19" s="39">
        <f>T16-T18</f>
        <v/>
      </c>
      <c r="U19" s="39">
        <f>U16-U18</f>
        <v/>
      </c>
      <c r="V19" s="39">
        <f>V16-V18</f>
        <v/>
      </c>
      <c r="W19" s="39">
        <f>W16-W18</f>
        <v/>
      </c>
      <c r="X19" s="39">
        <f>X16-X18</f>
        <v/>
      </c>
      <c r="Y19" s="39">
        <f>Y16-Y18</f>
        <v/>
      </c>
      <c r="Z19" s="39">
        <f>Z16-Z18</f>
        <v/>
      </c>
      <c r="AA19" s="39">
        <f>AA16-AA18</f>
        <v/>
      </c>
      <c r="AB19" s="39">
        <f>AB16-AB18</f>
        <v/>
      </c>
      <c r="AC19" s="39">
        <f>AC16-AC18</f>
        <v/>
      </c>
      <c r="AD19" s="39">
        <f>AD16-AD18</f>
        <v/>
      </c>
      <c r="AE19" s="39">
        <f>AE16-AE18</f>
        <v/>
      </c>
      <c r="AF19" s="39">
        <f>AF16-AF18</f>
        <v/>
      </c>
      <c r="AG19" s="39">
        <f>AG16-AG18</f>
        <v/>
      </c>
      <c r="AH19" s="39">
        <f>AH16-AH18</f>
        <v/>
      </c>
      <c r="AI19" s="39">
        <f>AI16-AI18</f>
        <v/>
      </c>
      <c r="AJ19" s="39">
        <f>AJ16-AJ18</f>
        <v/>
      </c>
      <c r="AK19" s="39">
        <f>AK16-AK18</f>
        <v/>
      </c>
      <c r="AL19" s="39">
        <f>AL16-AL18</f>
        <v/>
      </c>
      <c r="AM19" s="39">
        <f>AM16-AM18</f>
        <v/>
      </c>
      <c r="AN19" s="39">
        <f>AN16-AN18</f>
        <v/>
      </c>
      <c r="AO19" s="39">
        <f>AO16-AO18</f>
        <v/>
      </c>
      <c r="AP19" s="39">
        <f>AP16-AP18</f>
        <v/>
      </c>
      <c r="AQ19" s="39">
        <f>AQ16-AQ18</f>
        <v/>
      </c>
      <c r="AR19" s="39">
        <f>AR16-AR18</f>
        <v/>
      </c>
      <c r="AS19" s="39">
        <f>AS16-AS18</f>
        <v/>
      </c>
      <c r="AT19" s="39">
        <f>AT16-AT18</f>
        <v/>
      </c>
      <c r="AU19" s="39">
        <f>AU16-AU18</f>
        <v/>
      </c>
      <c r="AV19" s="39">
        <f>AV16-AV18</f>
        <v/>
      </c>
      <c r="AW19" s="39">
        <f>AW16-AW18</f>
        <v/>
      </c>
      <c r="AX19" s="39">
        <f>AX16-AX18</f>
        <v/>
      </c>
      <c r="AY19" s="39">
        <f>AY16-AY18</f>
        <v/>
      </c>
      <c r="AZ19" s="39">
        <f>AZ16-AZ18</f>
        <v/>
      </c>
      <c r="BA19" s="39">
        <f>BA16-BA18</f>
        <v/>
      </c>
      <c r="BB19" s="39">
        <f>BB16-BB18</f>
        <v/>
      </c>
      <c r="BC19" s="39">
        <f>BC16-BC18</f>
        <v/>
      </c>
      <c r="BD19" s="39">
        <f>BD16-BD18</f>
        <v/>
      </c>
      <c r="BE19" s="39">
        <f>BE16-BE18</f>
        <v/>
      </c>
      <c r="BF19" s="39">
        <f>BF16-BF18</f>
        <v/>
      </c>
      <c r="BG19" s="39">
        <f>BG16-BG18</f>
        <v/>
      </c>
      <c r="BH19" s="34">
        <f>BH16-BH18</f>
        <v/>
      </c>
      <c r="BI19" s="34">
        <f>BI16-BI18</f>
        <v/>
      </c>
      <c r="BJ19" s="34">
        <f>BJ16-BJ18</f>
        <v/>
      </c>
      <c r="BK19" s="34">
        <f>BK16-BK18</f>
        <v/>
      </c>
      <c r="BL19" s="34">
        <f>BL16-BL18</f>
        <v/>
      </c>
      <c r="BM19" s="34">
        <f>BM16-BM18</f>
        <v/>
      </c>
      <c r="BN19" s="34">
        <f>BN16-BN18</f>
        <v/>
      </c>
      <c r="BO19" s="34">
        <f>BO16-BO18</f>
        <v/>
      </c>
      <c r="BP19" s="34">
        <f>BP16-BP18</f>
        <v/>
      </c>
      <c r="BQ19" s="34">
        <f>BQ16-BQ18</f>
        <v/>
      </c>
      <c r="BR19" s="31" t="inlineStr">
        <is>
          <t>单片毛利=ASP−单片COGS（公式）。衡量直径升级与开工率对单位盈利的贡献。</t>
        </is>
      </c>
    </row>
    <row r="20">
      <c r="A20" s="4" t="inlineStr">
        <is>
          <t>InP</t>
        </is>
      </c>
      <c r="B20" s="7" t="inlineStr">
        <is>
          <t>InP unit gross margin</t>
        </is>
      </c>
      <c r="C20" s="4" t="inlineStr">
        <is>
          <t>%</t>
        </is>
      </c>
      <c r="D20" s="40">
        <f>IF(D16=0,0,D19/D16)</f>
        <v/>
      </c>
      <c r="E20" s="40">
        <f>IF(E16=0,0,E19/E16)</f>
        <v/>
      </c>
      <c r="F20" s="40">
        <f>IF(F16=0,0,F19/F16)</f>
        <v/>
      </c>
      <c r="G20" s="40">
        <f>IF(G16=0,0,G19/G16)</f>
        <v/>
      </c>
      <c r="H20" s="40">
        <f>IF(H16=0,0,H19/H16)</f>
        <v/>
      </c>
      <c r="I20" s="40">
        <f>IF(I16=0,0,I19/I16)</f>
        <v/>
      </c>
      <c r="J20" s="40">
        <f>IF(J16=0,0,J19/J16)</f>
        <v/>
      </c>
      <c r="K20" s="40">
        <f>IF(K16=0,0,K19/K16)</f>
        <v/>
      </c>
      <c r="L20" s="40">
        <f>IF(L16=0,0,L19/L16)</f>
        <v/>
      </c>
      <c r="M20" s="40">
        <f>IF(M16=0,0,M19/M16)</f>
        <v/>
      </c>
      <c r="N20" s="41">
        <f>IF(N16=0,0,N19/N16)</f>
        <v/>
      </c>
      <c r="O20" s="42">
        <f>IF(O16=0,0,O19/O16)</f>
        <v/>
      </c>
      <c r="P20" s="42">
        <f>IF(P16=0,0,P19/P16)</f>
        <v/>
      </c>
      <c r="R20" s="40">
        <f>IF(R16=0,0,R19/R16)</f>
        <v/>
      </c>
      <c r="S20" s="40">
        <f>IF(S16=0,0,S19/S16)</f>
        <v/>
      </c>
      <c r="T20" s="40">
        <f>IF(T16=0,0,T19/T16)</f>
        <v/>
      </c>
      <c r="U20" s="40">
        <f>IF(U16=0,0,U19/U16)</f>
        <v/>
      </c>
      <c r="V20" s="40">
        <f>IF(V16=0,0,V19/V16)</f>
        <v/>
      </c>
      <c r="W20" s="40">
        <f>IF(W16=0,0,W19/W16)</f>
        <v/>
      </c>
      <c r="X20" s="40">
        <f>IF(X16=0,0,X19/X16)</f>
        <v/>
      </c>
      <c r="Y20" s="40">
        <f>IF(Y16=0,0,Y19/Y16)</f>
        <v/>
      </c>
      <c r="Z20" s="40">
        <f>IF(Z16=0,0,Z19/Z16)</f>
        <v/>
      </c>
      <c r="AA20" s="40">
        <f>IF(AA16=0,0,AA19/AA16)</f>
        <v/>
      </c>
      <c r="AB20" s="40">
        <f>IF(AB16=0,0,AB19/AB16)</f>
        <v/>
      </c>
      <c r="AC20" s="40">
        <f>IF(AC16=0,0,AC19/AC16)</f>
        <v/>
      </c>
      <c r="AD20" s="40">
        <f>IF(AD16=0,0,AD19/AD16)</f>
        <v/>
      </c>
      <c r="AE20" s="40">
        <f>IF(AE16=0,0,AE19/AE16)</f>
        <v/>
      </c>
      <c r="AF20" s="40">
        <f>IF(AF16=0,0,AF19/AF16)</f>
        <v/>
      </c>
      <c r="AG20" s="40">
        <f>IF(AG16=0,0,AG19/AG16)</f>
        <v/>
      </c>
      <c r="AH20" s="40">
        <f>IF(AH16=0,0,AH19/AH16)</f>
        <v/>
      </c>
      <c r="AI20" s="40">
        <f>IF(AI16=0,0,AI19/AI16)</f>
        <v/>
      </c>
      <c r="AJ20" s="40">
        <f>IF(AJ16=0,0,AJ19/AJ16)</f>
        <v/>
      </c>
      <c r="AK20" s="40">
        <f>IF(AK16=0,0,AK19/AK16)</f>
        <v/>
      </c>
      <c r="AL20" s="40">
        <f>IF(AL16=0,0,AL19/AL16)</f>
        <v/>
      </c>
      <c r="AM20" s="40">
        <f>IF(AM16=0,0,AM19/AM16)</f>
        <v/>
      </c>
      <c r="AN20" s="40">
        <f>IF(AN16=0,0,AN19/AN16)</f>
        <v/>
      </c>
      <c r="AO20" s="40">
        <f>IF(AO16=0,0,AO19/AO16)</f>
        <v/>
      </c>
      <c r="AP20" s="40">
        <f>IF(AP16=0,0,AP19/AP16)</f>
        <v/>
      </c>
      <c r="AQ20" s="40">
        <f>IF(AQ16=0,0,AQ19/AQ16)</f>
        <v/>
      </c>
      <c r="AR20" s="40">
        <f>IF(AR16=0,0,AR19/AR16)</f>
        <v/>
      </c>
      <c r="AS20" s="40">
        <f>IF(AS16=0,0,AS19/AS16)</f>
        <v/>
      </c>
      <c r="AT20" s="40">
        <f>IF(AT16=0,0,AT19/AT16)</f>
        <v/>
      </c>
      <c r="AU20" s="40">
        <f>IF(AU16=0,0,AU19/AU16)</f>
        <v/>
      </c>
      <c r="AV20" s="40">
        <f>IF(AV16=0,0,AV19/AV16)</f>
        <v/>
      </c>
      <c r="AW20" s="40">
        <f>IF(AW16=0,0,AW19/AW16)</f>
        <v/>
      </c>
      <c r="AX20" s="40">
        <f>IF(AX16=0,0,AX19/AX16)</f>
        <v/>
      </c>
      <c r="AY20" s="40">
        <f>IF(AY16=0,0,AY19/AY16)</f>
        <v/>
      </c>
      <c r="AZ20" s="40">
        <f>IF(AZ16=0,0,AZ19/AZ16)</f>
        <v/>
      </c>
      <c r="BA20" s="40">
        <f>IF(BA16=0,0,BA19/BA16)</f>
        <v/>
      </c>
      <c r="BB20" s="40">
        <f>IF(BB16=0,0,BB19/BB16)</f>
        <v/>
      </c>
      <c r="BC20" s="40">
        <f>IF(BC16=0,0,BC19/BC16)</f>
        <v/>
      </c>
      <c r="BD20" s="40">
        <f>IF(BD16=0,0,BD19/BD16)</f>
        <v/>
      </c>
      <c r="BE20" s="40">
        <f>IF(BE16=0,0,BE19/BE16)</f>
        <v/>
      </c>
      <c r="BF20" s="40">
        <f>IF(BF16=0,0,BF19/BF16)</f>
        <v/>
      </c>
      <c r="BG20" s="40">
        <f>IF(BG16=0,0,BG19/BG16)</f>
        <v/>
      </c>
      <c r="BH20" s="42">
        <f>IF(BH16=0,0,BH19/BH16)</f>
        <v/>
      </c>
      <c r="BI20" s="42">
        <f>IF(BI16=0,0,BI19/BI16)</f>
        <v/>
      </c>
      <c r="BJ20" s="42">
        <f>IF(BJ16=0,0,BJ19/BJ16)</f>
        <v/>
      </c>
      <c r="BK20" s="42">
        <f>IF(BK16=0,0,BK19/BK16)</f>
        <v/>
      </c>
      <c r="BL20" s="42">
        <f>IF(BL16=0,0,BL19/BL16)</f>
        <v/>
      </c>
      <c r="BM20" s="42">
        <f>IF(BM16=0,0,BM19/BM16)</f>
        <v/>
      </c>
      <c r="BN20" s="42">
        <f>IF(BN16=0,0,BN19/BN16)</f>
        <v/>
      </c>
      <c r="BO20" s="42">
        <f>IF(BO16=0,0,BO19/BO16)</f>
        <v/>
      </c>
      <c r="BP20" s="42">
        <f>IF(BP16=0,0,BP19/BP16)</f>
        <v/>
      </c>
      <c r="BQ20" s="42">
        <f>IF(BQ16=0,0,BQ19/BQ16)</f>
        <v/>
      </c>
      <c r="BR20" s="31" t="inlineStr">
        <is>
          <t>单片毛利率=单片毛利/ASP（公式）。AI需求+4"/6"升级是中期扩张主因。</t>
        </is>
      </c>
    </row>
    <row r="21">
      <c r="A21" s="4" t="inlineStr">
        <is>
          <t>InP</t>
        </is>
      </c>
      <c r="B21" s="7" t="inlineStr">
        <is>
          <t>InP COGS</t>
        </is>
      </c>
      <c r="C21" s="4" t="inlineStr">
        <is>
          <t>$000</t>
        </is>
      </c>
      <c r="D21" s="43">
        <f>D15*D18</f>
        <v/>
      </c>
      <c r="E21" s="43">
        <f>E15*E18</f>
        <v/>
      </c>
      <c r="F21" s="43">
        <f>F15*F18</f>
        <v/>
      </c>
      <c r="G21" s="43">
        <f>G15*G18</f>
        <v/>
      </c>
      <c r="H21" s="43">
        <f>H15*H18</f>
        <v/>
      </c>
      <c r="I21" s="43">
        <f>I15*I18</f>
        <v/>
      </c>
      <c r="J21" s="43">
        <f>J15*J18</f>
        <v/>
      </c>
      <c r="K21" s="43">
        <f>K15*K18</f>
        <v/>
      </c>
      <c r="L21" s="43">
        <f>L15*L18</f>
        <v/>
      </c>
      <c r="M21" s="43">
        <f>M15*M18</f>
        <v/>
      </c>
      <c r="N21" s="37" t="inlineStr">
        <is>
          <t>BF21+BG21+BH21+BI21</t>
        </is>
      </c>
      <c r="O21" s="38" t="inlineStr">
        <is>
          <t>BJ21+BK21+BL21+BM21</t>
        </is>
      </c>
      <c r="P21" s="38" t="inlineStr">
        <is>
          <t>BN21+BO21+BP21+BQ21</t>
        </is>
      </c>
      <c r="R21" s="43">
        <f>R15*R18</f>
        <v/>
      </c>
      <c r="S21" s="43">
        <f>S15*S18</f>
        <v/>
      </c>
      <c r="T21" s="43">
        <f>T15*T18</f>
        <v/>
      </c>
      <c r="U21" s="43">
        <f>U15*U18</f>
        <v/>
      </c>
      <c r="V21" s="43">
        <f>V15*V18</f>
        <v/>
      </c>
      <c r="W21" s="43">
        <f>W15*W18</f>
        <v/>
      </c>
      <c r="X21" s="43">
        <f>X15*X18</f>
        <v/>
      </c>
      <c r="Y21" s="43">
        <f>Y15*Y18</f>
        <v/>
      </c>
      <c r="Z21" s="43">
        <f>Z15*Z18</f>
        <v/>
      </c>
      <c r="AA21" s="43">
        <f>AA15*AA18</f>
        <v/>
      </c>
      <c r="AB21" s="43">
        <f>AB15*AB18</f>
        <v/>
      </c>
      <c r="AC21" s="43">
        <f>AC15*AC18</f>
        <v/>
      </c>
      <c r="AD21" s="43">
        <f>AD15*AD18</f>
        <v/>
      </c>
      <c r="AE21" s="43">
        <f>AE15*AE18</f>
        <v/>
      </c>
      <c r="AF21" s="43">
        <f>AF15*AF18</f>
        <v/>
      </c>
      <c r="AG21" s="43">
        <f>AG15*AG18</f>
        <v/>
      </c>
      <c r="AH21" s="43">
        <f>AH15*AH18</f>
        <v/>
      </c>
      <c r="AI21" s="43">
        <f>AI15*AI18</f>
        <v/>
      </c>
      <c r="AJ21" s="43">
        <f>AJ15*AJ18</f>
        <v/>
      </c>
      <c r="AK21" s="43">
        <f>AK15*AK18</f>
        <v/>
      </c>
      <c r="AL21" s="43">
        <f>AL15*AL18</f>
        <v/>
      </c>
      <c r="AM21" s="43">
        <f>AM15*AM18</f>
        <v/>
      </c>
      <c r="AN21" s="43">
        <f>AN15*AN18</f>
        <v/>
      </c>
      <c r="AO21" s="43">
        <f>AO15*AO18</f>
        <v/>
      </c>
      <c r="AP21" s="43">
        <f>AP15*AP18</f>
        <v/>
      </c>
      <c r="AQ21" s="43">
        <f>AQ15*AQ18</f>
        <v/>
      </c>
      <c r="AR21" s="43">
        <f>AR15*AR18</f>
        <v/>
      </c>
      <c r="AS21" s="43">
        <f>AS15*AS18</f>
        <v/>
      </c>
      <c r="AT21" s="43">
        <f>AT15*AT18</f>
        <v/>
      </c>
      <c r="AU21" s="43">
        <f>AU15*AU18</f>
        <v/>
      </c>
      <c r="AV21" s="43">
        <f>AV15*AV18</f>
        <v/>
      </c>
      <c r="AW21" s="43">
        <f>AW15*AW18</f>
        <v/>
      </c>
      <c r="AX21" s="43">
        <f>AX15*AX18</f>
        <v/>
      </c>
      <c r="AY21" s="43">
        <f>AY15*AY18</f>
        <v/>
      </c>
      <c r="AZ21" s="43">
        <f>AZ15*AZ18</f>
        <v/>
      </c>
      <c r="BA21" s="43">
        <f>BA15*BA18</f>
        <v/>
      </c>
      <c r="BB21" s="43">
        <f>BB15*BB18</f>
        <v/>
      </c>
      <c r="BC21" s="43">
        <f>BC15*BC18</f>
        <v/>
      </c>
      <c r="BD21" s="43">
        <f>BD15*BD18</f>
        <v/>
      </c>
      <c r="BE21" s="43">
        <f>BE15*BE18</f>
        <v/>
      </c>
      <c r="BF21" s="43">
        <f>BF15*BF18</f>
        <v/>
      </c>
      <c r="BG21" s="43">
        <f>BG15*BG18</f>
        <v/>
      </c>
      <c r="BH21" s="38">
        <f>BH15*BH18</f>
        <v/>
      </c>
      <c r="BI21" s="38">
        <f>BI15*BI18</f>
        <v/>
      </c>
      <c r="BJ21" s="38">
        <f>BJ15*BJ18</f>
        <v/>
      </c>
      <c r="BK21" s="38">
        <f>BK15*BK18</f>
        <v/>
      </c>
      <c r="BL21" s="38">
        <f>BL15*BL18</f>
        <v/>
      </c>
      <c r="BM21" s="38">
        <f>BM15*BM18</f>
        <v/>
      </c>
      <c r="BN21" s="38">
        <f>BN15*BN18</f>
        <v/>
      </c>
      <c r="BO21" s="38">
        <f>BO15*BO18</f>
        <v/>
      </c>
      <c r="BP21" s="38">
        <f>BP15*BP18</f>
        <v/>
      </c>
      <c r="BQ21" s="38">
        <f>BQ15*BQ18</f>
        <v/>
      </c>
      <c r="BR21" s="31" t="inlineStr">
        <is>
          <t>InP销货成本=出货量(k)*单片COGS（公式）。</t>
        </is>
      </c>
    </row>
    <row r="22">
      <c r="A22" s="4" t="inlineStr">
        <is>
          <t>InP</t>
        </is>
      </c>
      <c r="B22" s="7" t="inlineStr">
        <is>
          <t>InP gross profit</t>
        </is>
      </c>
      <c r="C22" s="4" t="inlineStr">
        <is>
          <t>$000</t>
        </is>
      </c>
      <c r="D22" s="43">
        <f>D17-D21</f>
        <v/>
      </c>
      <c r="E22" s="43">
        <f>E17-E21</f>
        <v/>
      </c>
      <c r="F22" s="43">
        <f>F17-F21</f>
        <v/>
      </c>
      <c r="G22" s="43">
        <f>G17-G21</f>
        <v/>
      </c>
      <c r="H22" s="43">
        <f>H17-H21</f>
        <v/>
      </c>
      <c r="I22" s="43">
        <f>I17-I21</f>
        <v/>
      </c>
      <c r="J22" s="43">
        <f>J17-J21</f>
        <v/>
      </c>
      <c r="K22" s="43">
        <f>K17-K21</f>
        <v/>
      </c>
      <c r="L22" s="43">
        <f>L17-L21</f>
        <v/>
      </c>
      <c r="M22" s="43">
        <f>M17-M21</f>
        <v/>
      </c>
      <c r="N22" s="37">
        <f>N17-N21</f>
        <v/>
      </c>
      <c r="O22" s="38">
        <f>O17-O21</f>
        <v/>
      </c>
      <c r="P22" s="38">
        <f>P17-P21</f>
        <v/>
      </c>
      <c r="R22" s="43">
        <f>R17-R21</f>
        <v/>
      </c>
      <c r="S22" s="43">
        <f>S17-S21</f>
        <v/>
      </c>
      <c r="T22" s="43">
        <f>T17-T21</f>
        <v/>
      </c>
      <c r="U22" s="43">
        <f>U17-U21</f>
        <v/>
      </c>
      <c r="V22" s="43">
        <f>V17-V21</f>
        <v/>
      </c>
      <c r="W22" s="43">
        <f>W17-W21</f>
        <v/>
      </c>
      <c r="X22" s="43">
        <f>X17-X21</f>
        <v/>
      </c>
      <c r="Y22" s="43">
        <f>Y17-Y21</f>
        <v/>
      </c>
      <c r="Z22" s="43">
        <f>Z17-Z21</f>
        <v/>
      </c>
      <c r="AA22" s="43">
        <f>AA17-AA21</f>
        <v/>
      </c>
      <c r="AB22" s="43">
        <f>AB17-AB21</f>
        <v/>
      </c>
      <c r="AC22" s="43">
        <f>AC17-AC21</f>
        <v/>
      </c>
      <c r="AD22" s="43">
        <f>AD17-AD21</f>
        <v/>
      </c>
      <c r="AE22" s="43">
        <f>AE17-AE21</f>
        <v/>
      </c>
      <c r="AF22" s="43">
        <f>AF17-AF21</f>
        <v/>
      </c>
      <c r="AG22" s="43">
        <f>AG17-AG21</f>
        <v/>
      </c>
      <c r="AH22" s="43">
        <f>AH17-AH21</f>
        <v/>
      </c>
      <c r="AI22" s="43">
        <f>AI17-AI21</f>
        <v/>
      </c>
      <c r="AJ22" s="43">
        <f>AJ17-AJ21</f>
        <v/>
      </c>
      <c r="AK22" s="43">
        <f>AK17-AK21</f>
        <v/>
      </c>
      <c r="AL22" s="43">
        <f>AL17-AL21</f>
        <v/>
      </c>
      <c r="AM22" s="43">
        <f>AM17-AM21</f>
        <v/>
      </c>
      <c r="AN22" s="43">
        <f>AN17-AN21</f>
        <v/>
      </c>
      <c r="AO22" s="43">
        <f>AO17-AO21</f>
        <v/>
      </c>
      <c r="AP22" s="43">
        <f>AP17-AP21</f>
        <v/>
      </c>
      <c r="AQ22" s="43">
        <f>AQ17-AQ21</f>
        <v/>
      </c>
      <c r="AR22" s="43">
        <f>AR17-AR21</f>
        <v/>
      </c>
      <c r="AS22" s="43">
        <f>AS17-AS21</f>
        <v/>
      </c>
      <c r="AT22" s="43">
        <f>AT17-AT21</f>
        <v/>
      </c>
      <c r="AU22" s="43">
        <f>AU17-AU21</f>
        <v/>
      </c>
      <c r="AV22" s="43">
        <f>AV17-AV21</f>
        <v/>
      </c>
      <c r="AW22" s="43">
        <f>AW17-AW21</f>
        <v/>
      </c>
      <c r="AX22" s="43">
        <f>AX17-AX21</f>
        <v/>
      </c>
      <c r="AY22" s="43">
        <f>AY17-AY21</f>
        <v/>
      </c>
      <c r="AZ22" s="43">
        <f>AZ17-AZ21</f>
        <v/>
      </c>
      <c r="BA22" s="43">
        <f>BA17-BA21</f>
        <v/>
      </c>
      <c r="BB22" s="43">
        <f>BB17-BB21</f>
        <v/>
      </c>
      <c r="BC22" s="43">
        <f>BC17-BC21</f>
        <v/>
      </c>
      <c r="BD22" s="43">
        <f>BD17-BD21</f>
        <v/>
      </c>
      <c r="BE22" s="43">
        <f>BE17-BE21</f>
        <v/>
      </c>
      <c r="BF22" s="43">
        <f>BF17-BF21</f>
        <v/>
      </c>
      <c r="BG22" s="43">
        <f>BG17-BG21</f>
        <v/>
      </c>
      <c r="BH22" s="38">
        <f>BH17-BH21</f>
        <v/>
      </c>
      <c r="BI22" s="38">
        <f>BI17-BI21</f>
        <v/>
      </c>
      <c r="BJ22" s="38">
        <f>BJ17-BJ21</f>
        <v/>
      </c>
      <c r="BK22" s="38">
        <f>BK17-BK21</f>
        <v/>
      </c>
      <c r="BL22" s="38">
        <f>BL17-BL21</f>
        <v/>
      </c>
      <c r="BM22" s="38">
        <f>BM17-BM21</f>
        <v/>
      </c>
      <c r="BN22" s="38">
        <f>BN17-BN21</f>
        <v/>
      </c>
      <c r="BO22" s="38">
        <f>BO17-BO21</f>
        <v/>
      </c>
      <c r="BP22" s="38">
        <f>BP17-BP21</f>
        <v/>
      </c>
      <c r="BQ22" s="38">
        <f>BQ17-BQ21</f>
        <v/>
      </c>
      <c r="BR22" s="31" t="inlineStr">
        <is>
          <t>InP毛利=InP收入−InP COGS（公式）。</t>
        </is>
      </c>
    </row>
    <row r="23">
      <c r="A23" s="4" t="inlineStr">
        <is>
          <t>Other</t>
        </is>
      </c>
      <c r="B23" s="7" t="inlineStr">
        <is>
          <t>GaAs substrate revenue</t>
        </is>
      </c>
      <c r="C23" s="4" t="inlineStr">
        <is>
          <t>$000</t>
        </is>
      </c>
      <c r="D23" s="36" t="n">
        <v>38080</v>
      </c>
      <c r="E23" s="36" t="n">
        <v>44040</v>
      </c>
      <c r="F23" s="36" t="n">
        <v>45620</v>
      </c>
      <c r="G23" s="36" t="n">
        <v>29100</v>
      </c>
      <c r="H23" s="36" t="n">
        <v>34250</v>
      </c>
      <c r="I23" s="36" t="n">
        <v>56310</v>
      </c>
      <c r="J23" s="36" t="n">
        <v>55824</v>
      </c>
      <c r="K23" s="36" t="n">
        <v>21666</v>
      </c>
      <c r="L23" s="36" t="n">
        <v>28648</v>
      </c>
      <c r="M23" s="36" t="n">
        <v>26840</v>
      </c>
      <c r="N23" s="37" t="inlineStr">
        <is>
          <t>BF23+BG23+BH23+BI23</t>
        </is>
      </c>
      <c r="O23" s="38" t="inlineStr">
        <is>
          <t>BJ23+BK23+BL23+BM23</t>
        </is>
      </c>
      <c r="P23" s="38" t="inlineStr">
        <is>
          <t>BN23+BO23+BP23+BQ23</t>
        </is>
      </c>
      <c r="R23" s="36" t="n">
        <v>8760</v>
      </c>
      <c r="S23" s="36" t="n">
        <v>9593</v>
      </c>
      <c r="T23" s="36" t="n">
        <v>10238</v>
      </c>
      <c r="U23" s="36" t="n">
        <v>9488</v>
      </c>
      <c r="V23" s="36" t="n">
        <v>9202</v>
      </c>
      <c r="W23" s="36" t="n">
        <v>10514</v>
      </c>
      <c r="X23" s="36" t="n">
        <v>12573</v>
      </c>
      <c r="Y23" s="36" t="n">
        <v>11752</v>
      </c>
      <c r="Z23" s="36" t="n">
        <v>10879</v>
      </c>
      <c r="AA23" s="36" t="n">
        <v>12083</v>
      </c>
      <c r="AB23" s="36" t="n">
        <v>12754</v>
      </c>
      <c r="AC23" s="36" t="n">
        <v>9905</v>
      </c>
      <c r="AD23" s="36" t="n">
        <v>7064</v>
      </c>
      <c r="AE23" s="36" t="n">
        <v>8668</v>
      </c>
      <c r="AF23" s="36" t="n">
        <v>6934</v>
      </c>
      <c r="AG23" s="36" t="n">
        <v>6434</v>
      </c>
      <c r="AH23" s="36" t="n">
        <v>7443</v>
      </c>
      <c r="AI23" s="36" t="n">
        <v>7949</v>
      </c>
      <c r="AJ23" s="36" t="n">
        <v>9147</v>
      </c>
      <c r="AK23" s="36" t="n">
        <v>9711</v>
      </c>
      <c r="AL23" s="36" t="n">
        <v>12849</v>
      </c>
      <c r="AM23" s="36" t="n">
        <v>13826</v>
      </c>
      <c r="AN23" s="36" t="n">
        <v>14171</v>
      </c>
      <c r="AO23" s="36" t="n">
        <v>15464</v>
      </c>
      <c r="AP23" s="36" t="n">
        <v>15687</v>
      </c>
      <c r="AQ23" s="36" t="n">
        <v>15620</v>
      </c>
      <c r="AR23" s="36" t="n">
        <v>13918</v>
      </c>
      <c r="AS23" s="36" t="n">
        <v>10600</v>
      </c>
      <c r="AT23" s="36" t="n">
        <v>5547</v>
      </c>
      <c r="AU23" s="36" t="n">
        <v>5316</v>
      </c>
      <c r="AV23" s="36" t="n">
        <v>4964</v>
      </c>
      <c r="AW23" s="36" t="n">
        <v>5839</v>
      </c>
      <c r="AX23" s="36" t="n">
        <v>5970</v>
      </c>
      <c r="AY23" s="36" t="n">
        <v>8439</v>
      </c>
      <c r="AZ23" s="36" t="n">
        <v>7561</v>
      </c>
      <c r="BA23" s="36" t="n">
        <v>6418</v>
      </c>
      <c r="BB23" s="36" t="n">
        <v>8328</v>
      </c>
      <c r="BC23" s="36" t="n">
        <v>6886</v>
      </c>
      <c r="BD23" s="36" t="n">
        <v>4902</v>
      </c>
      <c r="BE23" s="36" t="n">
        <v>7135</v>
      </c>
      <c r="BF23" s="36" t="n">
        <v>4424</v>
      </c>
      <c r="BG23" s="36" t="n">
        <v>6617</v>
      </c>
      <c r="BH23" s="44" t="n">
        <v>7000</v>
      </c>
      <c r="BI23" s="44" t="n">
        <v>7200</v>
      </c>
      <c r="BJ23" s="44" t="n">
        <v>7400</v>
      </c>
      <c r="BK23" s="44" t="n">
        <v>7500</v>
      </c>
      <c r="BL23" s="44" t="n">
        <v>7600</v>
      </c>
      <c r="BM23" s="44" t="n">
        <v>7800</v>
      </c>
      <c r="BN23" s="44" t="n">
        <v>7900</v>
      </c>
      <c r="BO23" s="44" t="n">
        <v>8000</v>
      </c>
      <c r="BP23" s="44" t="n">
        <v>8100</v>
      </c>
      <c r="BQ23" s="44" t="n">
        <v>8200</v>
      </c>
      <c r="BR23" s="31" t="inlineStr">
        <is>
          <t>砷化镓衬底。公司将部分GaAs晶体生长产能改造成InP。预测维持$7–8m/季平稳，不做扩张。Q2'26实际$6.6m。</t>
        </is>
      </c>
    </row>
    <row r="24">
      <c r="A24" s="4" t="inlineStr">
        <is>
          <t>Other</t>
        </is>
      </c>
      <c r="B24" s="7" t="inlineStr">
        <is>
          <t>Ge substrate revenue</t>
        </is>
      </c>
      <c r="C24" s="4" t="inlineStr">
        <is>
          <t>$000</t>
        </is>
      </c>
      <c r="D24" s="36" t="n">
        <v>8000</v>
      </c>
      <c r="E24" s="36" t="n">
        <v>9000</v>
      </c>
      <c r="F24" s="36" t="n">
        <v>8500</v>
      </c>
      <c r="G24" s="36" t="n">
        <v>6000</v>
      </c>
      <c r="H24" s="36" t="n">
        <v>5500</v>
      </c>
      <c r="I24" s="36" t="n">
        <v>8000</v>
      </c>
      <c r="J24" s="36" t="n">
        <v>7500</v>
      </c>
      <c r="K24" s="36" t="n">
        <v>4000</v>
      </c>
      <c r="L24" s="36" t="n">
        <v>7400</v>
      </c>
      <c r="M24" s="36" t="n">
        <v>3560</v>
      </c>
      <c r="N24" s="37" t="inlineStr">
        <is>
          <t>BF24+BG24+BH24+BI24</t>
        </is>
      </c>
      <c r="O24" s="38" t="inlineStr">
        <is>
          <t>BJ24+BK24+BL24+BM24</t>
        </is>
      </c>
      <c r="P24" s="38" t="inlineStr">
        <is>
          <t>BN24+BO24+BP24+BQ24</t>
        </is>
      </c>
      <c r="R24" s="36" t="n">
        <v>1840</v>
      </c>
      <c r="S24" s="36" t="n">
        <v>2016</v>
      </c>
      <c r="T24" s="36" t="n">
        <v>2151</v>
      </c>
      <c r="U24" s="36" t="n">
        <v>1993</v>
      </c>
      <c r="V24" s="36" t="n">
        <v>1880</v>
      </c>
      <c r="W24" s="36" t="n">
        <v>2149</v>
      </c>
      <c r="X24" s="36" t="n">
        <v>2569</v>
      </c>
      <c r="Y24" s="36" t="n">
        <v>2402</v>
      </c>
      <c r="Z24" s="36" t="n">
        <v>2027</v>
      </c>
      <c r="AA24" s="36" t="n">
        <v>2251</v>
      </c>
      <c r="AB24" s="36" t="n">
        <v>2376</v>
      </c>
      <c r="AC24" s="36" t="n">
        <v>1845</v>
      </c>
      <c r="AD24" s="36" t="n">
        <v>1456</v>
      </c>
      <c r="AE24" s="36" t="n">
        <v>1787</v>
      </c>
      <c r="AF24" s="36" t="n">
        <v>1430</v>
      </c>
      <c r="AG24" s="36" t="n">
        <v>1327</v>
      </c>
      <c r="AH24" s="36" t="n">
        <v>1195</v>
      </c>
      <c r="AI24" s="36" t="n">
        <v>1277</v>
      </c>
      <c r="AJ24" s="36" t="n">
        <v>1469</v>
      </c>
      <c r="AK24" s="36" t="n">
        <v>1559</v>
      </c>
      <c r="AL24" s="36" t="n">
        <v>1825</v>
      </c>
      <c r="AM24" s="36" t="n">
        <v>1964</v>
      </c>
      <c r="AN24" s="36" t="n">
        <v>2013</v>
      </c>
      <c r="AO24" s="36" t="n">
        <v>2197</v>
      </c>
      <c r="AP24" s="36" t="n">
        <v>2107</v>
      </c>
      <c r="AQ24" s="36" t="n">
        <v>2099</v>
      </c>
      <c r="AR24" s="36" t="n">
        <v>1870</v>
      </c>
      <c r="AS24" s="36" t="n">
        <v>1424</v>
      </c>
      <c r="AT24" s="36" t="n">
        <v>1024</v>
      </c>
      <c r="AU24" s="36" t="n">
        <v>981</v>
      </c>
      <c r="AV24" s="36" t="n">
        <v>916</v>
      </c>
      <c r="AW24" s="36" t="n">
        <v>1078</v>
      </c>
      <c r="AX24" s="36" t="n">
        <v>1400</v>
      </c>
      <c r="AY24" s="36" t="n">
        <v>2900</v>
      </c>
      <c r="AZ24" s="36" t="n">
        <v>1761</v>
      </c>
      <c r="BA24" s="36" t="n">
        <v>1600</v>
      </c>
      <c r="BB24" s="36" t="n">
        <v>780</v>
      </c>
      <c r="BC24" s="36" t="n">
        <v>1500</v>
      </c>
      <c r="BD24" s="36" t="n">
        <v>640</v>
      </c>
      <c r="BE24" s="36" t="n">
        <v>230</v>
      </c>
      <c r="BF24" s="36" t="n">
        <v>400</v>
      </c>
      <c r="BG24" s="36" t="n">
        <v>272</v>
      </c>
      <c r="BH24" s="44" t="n">
        <v>400</v>
      </c>
      <c r="BI24" s="44" t="n">
        <v>400</v>
      </c>
      <c r="BJ24" s="44" t="n">
        <v>450</v>
      </c>
      <c r="BK24" s="44" t="n">
        <v>450</v>
      </c>
      <c r="BL24" s="44" t="n">
        <v>500</v>
      </c>
      <c r="BM24" s="44" t="n">
        <v>500</v>
      </c>
      <c r="BN24" s="44" t="n">
        <v>500</v>
      </c>
      <c r="BO24" s="44" t="n">
        <v>500</v>
      </c>
      <c r="BP24" s="44" t="n">
        <v>500</v>
      </c>
      <c r="BQ24" s="44" t="n">
        <v>500</v>
      </c>
      <c r="BR24" s="31" t="inlineStr">
        <is>
          <t>锗衬底（卫星太阳能电池）。管理层称毛利差、出口许可难，已主动收缩。Q2'26仅$0.27m。预测维持极低个位数。</t>
        </is>
      </c>
    </row>
    <row r="25">
      <c r="A25" s="4" t="inlineStr">
        <is>
          <t>Other</t>
        </is>
      </c>
      <c r="B25" s="7" t="inlineStr">
        <is>
          <t>Raw materials revenue</t>
        </is>
      </c>
      <c r="C25" s="4" t="inlineStr">
        <is>
          <t>$000</t>
        </is>
      </c>
      <c r="D25" s="36" t="n">
        <v>17349</v>
      </c>
      <c r="E25" s="36" t="n">
        <v>20673</v>
      </c>
      <c r="F25" s="36" t="n">
        <v>20397</v>
      </c>
      <c r="G25" s="36" t="n">
        <v>18256</v>
      </c>
      <c r="H25" s="36" t="n">
        <v>20361</v>
      </c>
      <c r="I25" s="36" t="n">
        <v>28393</v>
      </c>
      <c r="J25" s="36" t="n">
        <v>30024</v>
      </c>
      <c r="K25" s="36" t="n">
        <v>28329</v>
      </c>
      <c r="L25" s="36" t="n">
        <v>31613</v>
      </c>
      <c r="M25" s="36" t="n">
        <v>29426</v>
      </c>
      <c r="N25" s="37" t="inlineStr">
        <is>
          <t>BF25+BG25+BH25+BI25</t>
        </is>
      </c>
      <c r="O25" s="38" t="inlineStr">
        <is>
          <t>BJ25+BK25+BL25+BM25</t>
        </is>
      </c>
      <c r="P25" s="38" t="inlineStr">
        <is>
          <t>BN25+BO25+BP25+BQ25</t>
        </is>
      </c>
      <c r="R25" s="36" t="n">
        <v>3991</v>
      </c>
      <c r="S25" s="36" t="n">
        <v>4371</v>
      </c>
      <c r="T25" s="36" t="n">
        <v>4665</v>
      </c>
      <c r="U25" s="36" t="n">
        <v>4323</v>
      </c>
      <c r="V25" s="36" t="n">
        <v>4319</v>
      </c>
      <c r="W25" s="36" t="n">
        <v>4935</v>
      </c>
      <c r="X25" s="36" t="n">
        <v>5901</v>
      </c>
      <c r="Y25" s="36" t="n">
        <v>5517</v>
      </c>
      <c r="Z25" s="36" t="n">
        <v>4864</v>
      </c>
      <c r="AA25" s="36" t="n">
        <v>5402</v>
      </c>
      <c r="AB25" s="36" t="n">
        <v>5702</v>
      </c>
      <c r="AC25" s="36" t="n">
        <v>4429</v>
      </c>
      <c r="AD25" s="36" t="n">
        <v>4431</v>
      </c>
      <c r="AE25" s="36" t="n">
        <v>5437</v>
      </c>
      <c r="AF25" s="36" t="n">
        <v>4351</v>
      </c>
      <c r="AG25" s="36" t="n">
        <v>4037</v>
      </c>
      <c r="AH25" s="36" t="n">
        <v>4425</v>
      </c>
      <c r="AI25" s="36" t="n">
        <v>4726</v>
      </c>
      <c r="AJ25" s="36" t="n">
        <v>5438</v>
      </c>
      <c r="AK25" s="36" t="n">
        <v>5772</v>
      </c>
      <c r="AL25" s="36" t="n">
        <v>6479</v>
      </c>
      <c r="AM25" s="36" t="n">
        <v>6972</v>
      </c>
      <c r="AN25" s="36" t="n">
        <v>7145</v>
      </c>
      <c r="AO25" s="36" t="n">
        <v>7798</v>
      </c>
      <c r="AP25" s="36" t="n">
        <v>8436</v>
      </c>
      <c r="AQ25" s="36" t="n">
        <v>8401</v>
      </c>
      <c r="AR25" s="36" t="n">
        <v>7485</v>
      </c>
      <c r="AS25" s="36" t="n">
        <v>5701</v>
      </c>
      <c r="AT25" s="36" t="n">
        <v>7253</v>
      </c>
      <c r="AU25" s="36" t="n">
        <v>6950</v>
      </c>
      <c r="AV25" s="36" t="n">
        <v>6491</v>
      </c>
      <c r="AW25" s="36" t="n">
        <v>7636</v>
      </c>
      <c r="AX25" s="36" t="n">
        <v>7218</v>
      </c>
      <c r="AY25" s="36" t="n">
        <v>8884</v>
      </c>
      <c r="AZ25" s="36" t="n">
        <v>7523</v>
      </c>
      <c r="BA25" s="36" t="n">
        <v>7987</v>
      </c>
      <c r="BB25" s="36" t="n">
        <v>6448</v>
      </c>
      <c r="BC25" s="36" t="n">
        <v>5988</v>
      </c>
      <c r="BD25" s="36" t="n">
        <v>9313</v>
      </c>
      <c r="BE25" s="36" t="n">
        <v>7676</v>
      </c>
      <c r="BF25" s="36" t="n">
        <v>8500</v>
      </c>
      <c r="BG25" s="36" t="n">
        <v>10000</v>
      </c>
      <c r="BH25" s="44" t="n">
        <v>10500</v>
      </c>
      <c r="BI25" s="44" t="n">
        <v>11000</v>
      </c>
      <c r="BJ25" s="44" t="n">
        <v>12000</v>
      </c>
      <c r="BK25" s="44" t="n">
        <v>13000</v>
      </c>
      <c r="BL25" s="44" t="n">
        <v>14000</v>
      </c>
      <c r="BM25" s="44" t="n">
        <v>15000</v>
      </c>
      <c r="BN25" s="44" t="n">
        <v>15500</v>
      </c>
      <c r="BO25" s="44" t="n">
        <v>16200</v>
      </c>
      <c r="BP25" s="44" t="n">
        <v>16800</v>
      </c>
      <c r="BQ25" s="44" t="n">
        <v>17500</v>
      </c>
      <c r="BR25" s="31" t="inlineStr">
        <is>
          <t>并表原材料JV：高纯镓、InP多晶、pBN坩埚/OLED工具（BoYu、JinMei等）。随InP放量同步增长。Q2'26 $10.0m。10-K: 2025原材料占收入33%。</t>
        </is>
      </c>
    </row>
    <row r="26">
      <c r="A26" s="4" t="inlineStr">
        <is>
          <t>Total</t>
        </is>
      </c>
      <c r="B26" s="5" t="inlineStr">
        <is>
          <t>Total revenue (drivers)</t>
        </is>
      </c>
      <c r="C26" s="4" t="inlineStr">
        <is>
          <t>$000</t>
        </is>
      </c>
      <c r="D26" s="45">
        <f>D17+D23+D24+D25</f>
        <v/>
      </c>
      <c r="E26" s="45">
        <f>E17+E23+E24+E25</f>
        <v/>
      </c>
      <c r="F26" s="45">
        <f>F17+F23+F24+F25</f>
        <v/>
      </c>
      <c r="G26" s="45">
        <f>G17+G23+G24+G25</f>
        <v/>
      </c>
      <c r="H26" s="45">
        <f>H17+H23+H24+H25</f>
        <v/>
      </c>
      <c r="I26" s="45">
        <f>I17+I23+I24+I25</f>
        <v/>
      </c>
      <c r="J26" s="45">
        <f>J17+J23+J24+J25</f>
        <v/>
      </c>
      <c r="K26" s="45">
        <f>K17+K23+K24+K25</f>
        <v/>
      </c>
      <c r="L26" s="45">
        <f>L17+L23+L24+L25</f>
        <v/>
      </c>
      <c r="M26" s="45">
        <f>M17+M23+M24+M25</f>
        <v/>
      </c>
      <c r="N26" s="45">
        <f>N17+N23+N24+N25</f>
        <v/>
      </c>
      <c r="O26" s="45">
        <f>O17+O23+O24+O25</f>
        <v/>
      </c>
      <c r="P26" s="45">
        <f>P17+P23+P24+P25</f>
        <v/>
      </c>
      <c r="R26" s="45">
        <f>R17+R23+R24+R25</f>
        <v/>
      </c>
      <c r="S26" s="45">
        <f>S17+S23+S24+S25</f>
        <v/>
      </c>
      <c r="T26" s="45">
        <f>T17+T23+T24+T25</f>
        <v/>
      </c>
      <c r="U26" s="45">
        <f>U17+U23+U24+U25</f>
        <v/>
      </c>
      <c r="V26" s="45">
        <f>V17+V23+V24+V25</f>
        <v/>
      </c>
      <c r="W26" s="45">
        <f>W17+W23+W24+W25</f>
        <v/>
      </c>
      <c r="X26" s="45">
        <f>X17+X23+X24+X25</f>
        <v/>
      </c>
      <c r="Y26" s="45">
        <f>Y17+Y23+Y24+Y25</f>
        <v/>
      </c>
      <c r="Z26" s="45">
        <f>Z17+Z23+Z24+Z25</f>
        <v/>
      </c>
      <c r="AA26" s="45">
        <f>AA17+AA23+AA24+AA25</f>
        <v/>
      </c>
      <c r="AB26" s="45">
        <f>AB17+AB23+AB24+AB25</f>
        <v/>
      </c>
      <c r="AC26" s="45">
        <f>AC17+AC23+AC24+AC25</f>
        <v/>
      </c>
      <c r="AD26" s="45">
        <f>AD17+AD23+AD24+AD25</f>
        <v/>
      </c>
      <c r="AE26" s="45">
        <f>AE17+AE23+AE24+AE25</f>
        <v/>
      </c>
      <c r="AF26" s="45">
        <f>AF17+AF23+AF24+AF25</f>
        <v/>
      </c>
      <c r="AG26" s="45">
        <f>AG17+AG23+AG24+AG25</f>
        <v/>
      </c>
      <c r="AH26" s="45">
        <f>AH17+AH23+AH24+AH25</f>
        <v/>
      </c>
      <c r="AI26" s="45">
        <f>AI17+AI23+AI24+AI25</f>
        <v/>
      </c>
      <c r="AJ26" s="45">
        <f>AJ17+AJ23+AJ24+AJ25</f>
        <v/>
      </c>
      <c r="AK26" s="45">
        <f>AK17+AK23+AK24+AK25</f>
        <v/>
      </c>
      <c r="AL26" s="45">
        <f>AL17+AL23+AL24+AL25</f>
        <v/>
      </c>
      <c r="AM26" s="45">
        <f>AM17+AM23+AM24+AM25</f>
        <v/>
      </c>
      <c r="AN26" s="45">
        <f>AN17+AN23+AN24+AN25</f>
        <v/>
      </c>
      <c r="AO26" s="45">
        <f>AO17+AO23+AO24+AO25</f>
        <v/>
      </c>
      <c r="AP26" s="45">
        <f>AP17+AP23+AP24+AP25</f>
        <v/>
      </c>
      <c r="AQ26" s="45">
        <f>AQ17+AQ23+AQ24+AQ25</f>
        <v/>
      </c>
      <c r="AR26" s="45">
        <f>AR17+AR23+AR24+AR25</f>
        <v/>
      </c>
      <c r="AS26" s="45">
        <f>AS17+AS23+AS24+AS25</f>
        <v/>
      </c>
      <c r="AT26" s="45">
        <f>AT17+AT23+AT24+AT25</f>
        <v/>
      </c>
      <c r="AU26" s="45">
        <f>AU17+AU23+AU24+AU25</f>
        <v/>
      </c>
      <c r="AV26" s="45">
        <f>AV17+AV23+AV24+AV25</f>
        <v/>
      </c>
      <c r="AW26" s="45">
        <f>AW17+AW23+AW24+AW25</f>
        <v/>
      </c>
      <c r="AX26" s="45">
        <f>AX17+AX23+AX24+AX25</f>
        <v/>
      </c>
      <c r="AY26" s="45">
        <f>AY17+AY23+AY24+AY25</f>
        <v/>
      </c>
      <c r="AZ26" s="45">
        <f>AZ17+AZ23+AZ24+AZ25</f>
        <v/>
      </c>
      <c r="BA26" s="45">
        <f>BA17+BA23+BA24+BA25</f>
        <v/>
      </c>
      <c r="BB26" s="45">
        <f>BB17+BB23+BB24+BB25</f>
        <v/>
      </c>
      <c r="BC26" s="45">
        <f>BC17+BC23+BC24+BC25</f>
        <v/>
      </c>
      <c r="BD26" s="45">
        <f>BD17+BD23+BD24+BD25</f>
        <v/>
      </c>
      <c r="BE26" s="45">
        <f>BE17+BE23+BE24+BE25</f>
        <v/>
      </c>
      <c r="BF26" s="45">
        <f>BF17+BF23+BF24+BF25</f>
        <v/>
      </c>
      <c r="BG26" s="45">
        <f>BG17+BG23+BG24+BG25</f>
        <v/>
      </c>
      <c r="BH26" s="45">
        <f>BH17+BH23+BH24+BH25</f>
        <v/>
      </c>
      <c r="BI26" s="45">
        <f>BI17+BI23+BI24+BI25</f>
        <v/>
      </c>
      <c r="BJ26" s="45">
        <f>BJ17+BJ23+BJ24+BJ25</f>
        <v/>
      </c>
      <c r="BK26" s="45">
        <f>BK17+BK23+BK24+BK25</f>
        <v/>
      </c>
      <c r="BL26" s="45">
        <f>BL17+BL23+BL24+BL25</f>
        <v/>
      </c>
      <c r="BM26" s="45">
        <f>BM17+BM23+BM24+BM25</f>
        <v/>
      </c>
      <c r="BN26" s="45">
        <f>BN17+BN23+BN24+BN25</f>
        <v/>
      </c>
      <c r="BO26" s="45">
        <f>BO17+BO23+BO24+BO25</f>
        <v/>
      </c>
      <c r="BP26" s="45">
        <f>BP17+BP23+BP24+BP25</f>
        <v/>
      </c>
      <c r="BQ26" s="45">
        <f>BQ17+BQ23+BQ24+BQ25</f>
        <v/>
      </c>
      <c r="BR26" s="31" t="inlineStr">
        <is>
          <t>驱动加总=InP+GaAs+Ge+原材料，应等于P&amp;L收入（见勾稽）。</t>
        </is>
      </c>
    </row>
    <row r="27">
      <c r="A27" s="4" t="inlineStr">
        <is>
          <t>Mix</t>
        </is>
      </c>
      <c r="B27" s="7" t="inlineStr">
        <is>
          <t>InP % of total revenue</t>
        </is>
      </c>
      <c r="C27" s="4" t="inlineStr">
        <is>
          <t>%</t>
        </is>
      </c>
      <c r="D27" s="40">
        <f>IF(D26=0,0,D17/D26)</f>
        <v/>
      </c>
      <c r="E27" s="40">
        <f>IF(E26=0,0,E17/E26)</f>
        <v/>
      </c>
      <c r="F27" s="40">
        <f>IF(F26=0,0,F17/F26)</f>
        <v/>
      </c>
      <c r="G27" s="40">
        <f>IF(G26=0,0,G17/G26)</f>
        <v/>
      </c>
      <c r="H27" s="40">
        <f>IF(H26=0,0,H17/H26)</f>
        <v/>
      </c>
      <c r="I27" s="40">
        <f>IF(I26=0,0,I17/I26)</f>
        <v/>
      </c>
      <c r="J27" s="40">
        <f>IF(J26=0,0,J17/J26)</f>
        <v/>
      </c>
      <c r="K27" s="40">
        <f>IF(K26=0,0,K17/K26)</f>
        <v/>
      </c>
      <c r="L27" s="40">
        <f>IF(L26=0,0,L17/L26)</f>
        <v/>
      </c>
      <c r="M27" s="40">
        <f>IF(M26=0,0,M17/M26)</f>
        <v/>
      </c>
      <c r="N27" s="41">
        <f>IF(N26=0,0,N17/N26)</f>
        <v/>
      </c>
      <c r="O27" s="42">
        <f>IF(O26=0,0,O17/O26)</f>
        <v/>
      </c>
      <c r="P27" s="42">
        <f>IF(P26=0,0,P17/P26)</f>
        <v/>
      </c>
      <c r="R27" s="40">
        <f>IF(R26=0,0,R17/R26)</f>
        <v/>
      </c>
      <c r="S27" s="40">
        <f>IF(S26=0,0,S17/S26)</f>
        <v/>
      </c>
      <c r="T27" s="40">
        <f>IF(T26=0,0,T17/T26)</f>
        <v/>
      </c>
      <c r="U27" s="40">
        <f>IF(U26=0,0,U17/U26)</f>
        <v/>
      </c>
      <c r="V27" s="40">
        <f>IF(V26=0,0,V17/V26)</f>
        <v/>
      </c>
      <c r="W27" s="40">
        <f>IF(W26=0,0,W17/W26)</f>
        <v/>
      </c>
      <c r="X27" s="40">
        <f>IF(X26=0,0,X17/X26)</f>
        <v/>
      </c>
      <c r="Y27" s="40">
        <f>IF(Y26=0,0,Y17/Y26)</f>
        <v/>
      </c>
      <c r="Z27" s="40">
        <f>IF(Z26=0,0,Z17/Z26)</f>
        <v/>
      </c>
      <c r="AA27" s="40">
        <f>IF(AA26=0,0,AA17/AA26)</f>
        <v/>
      </c>
      <c r="AB27" s="40">
        <f>IF(AB26=0,0,AB17/AB26)</f>
        <v/>
      </c>
      <c r="AC27" s="40">
        <f>IF(AC26=0,0,AC17/AC26)</f>
        <v/>
      </c>
      <c r="AD27" s="40">
        <f>IF(AD26=0,0,AD17/AD26)</f>
        <v/>
      </c>
      <c r="AE27" s="40">
        <f>IF(AE26=0,0,AE17/AE26)</f>
        <v/>
      </c>
      <c r="AF27" s="40">
        <f>IF(AF26=0,0,AF17/AF26)</f>
        <v/>
      </c>
      <c r="AG27" s="40">
        <f>IF(AG26=0,0,AG17/AG26)</f>
        <v/>
      </c>
      <c r="AH27" s="40">
        <f>IF(AH26=0,0,AH17/AH26)</f>
        <v/>
      </c>
      <c r="AI27" s="40">
        <f>IF(AI26=0,0,AI17/AI26)</f>
        <v/>
      </c>
      <c r="AJ27" s="40">
        <f>IF(AJ26=0,0,AJ17/AJ26)</f>
        <v/>
      </c>
      <c r="AK27" s="40">
        <f>IF(AK26=0,0,AK17/AK26)</f>
        <v/>
      </c>
      <c r="AL27" s="40">
        <f>IF(AL26=0,0,AL17/AL26)</f>
        <v/>
      </c>
      <c r="AM27" s="40">
        <f>IF(AM26=0,0,AM17/AM26)</f>
        <v/>
      </c>
      <c r="AN27" s="40">
        <f>IF(AN26=0,0,AN17/AN26)</f>
        <v/>
      </c>
      <c r="AO27" s="40">
        <f>IF(AO26=0,0,AO17/AO26)</f>
        <v/>
      </c>
      <c r="AP27" s="40">
        <f>IF(AP26=0,0,AP17/AP26)</f>
        <v/>
      </c>
      <c r="AQ27" s="40">
        <f>IF(AQ26=0,0,AQ17/AQ26)</f>
        <v/>
      </c>
      <c r="AR27" s="40">
        <f>IF(AR26=0,0,AR17/AR26)</f>
        <v/>
      </c>
      <c r="AS27" s="40">
        <f>IF(AS26=0,0,AS17/AS26)</f>
        <v/>
      </c>
      <c r="AT27" s="40">
        <f>IF(AT26=0,0,AT17/AT26)</f>
        <v/>
      </c>
      <c r="AU27" s="40">
        <f>IF(AU26=0,0,AU17/AU26)</f>
        <v/>
      </c>
      <c r="AV27" s="40">
        <f>IF(AV26=0,0,AV17/AV26)</f>
        <v/>
      </c>
      <c r="AW27" s="40">
        <f>IF(AW26=0,0,AW17/AW26)</f>
        <v/>
      </c>
      <c r="AX27" s="40">
        <f>IF(AX26=0,0,AX17/AX26)</f>
        <v/>
      </c>
      <c r="AY27" s="40">
        <f>IF(AY26=0,0,AY17/AY26)</f>
        <v/>
      </c>
      <c r="AZ27" s="40">
        <f>IF(AZ26=0,0,AZ17/AZ26)</f>
        <v/>
      </c>
      <c r="BA27" s="40">
        <f>IF(BA26=0,0,BA17/BA26)</f>
        <v/>
      </c>
      <c r="BB27" s="40">
        <f>IF(BB26=0,0,BB17/BB26)</f>
        <v/>
      </c>
      <c r="BC27" s="40">
        <f>IF(BC26=0,0,BC17/BC26)</f>
        <v/>
      </c>
      <c r="BD27" s="40">
        <f>IF(BD26=0,0,BD17/BD26)</f>
        <v/>
      </c>
      <c r="BE27" s="40">
        <f>IF(BE26=0,0,BE17/BE26)</f>
        <v/>
      </c>
      <c r="BF27" s="40">
        <f>IF(BF26=0,0,BF17/BF26)</f>
        <v/>
      </c>
      <c r="BG27" s="40">
        <f>IF(BG26=0,0,BG17/BG26)</f>
        <v/>
      </c>
      <c r="BH27" s="42">
        <f>IF(BH26=0,0,BH17/BH26)</f>
        <v/>
      </c>
      <c r="BI27" s="42">
        <f>IF(BI26=0,0,BI17/BI26)</f>
        <v/>
      </c>
      <c r="BJ27" s="42">
        <f>IF(BJ26=0,0,BJ17/BJ26)</f>
        <v/>
      </c>
      <c r="BK27" s="42">
        <f>IF(BK26=0,0,BK17/BK26)</f>
        <v/>
      </c>
      <c r="BL27" s="42">
        <f>IF(BL26=0,0,BL17/BL26)</f>
        <v/>
      </c>
      <c r="BM27" s="42">
        <f>IF(BM26=0,0,BM17/BM26)</f>
        <v/>
      </c>
      <c r="BN27" s="42">
        <f>IF(BN26=0,0,BN17/BN26)</f>
        <v/>
      </c>
      <c r="BO27" s="42">
        <f>IF(BO26=0,0,BO17/BO26)</f>
        <v/>
      </c>
      <c r="BP27" s="42">
        <f>IF(BP26=0,0,BP17/BP26)</f>
        <v/>
      </c>
      <c r="BQ27" s="42">
        <f>IF(BQ26=0,0,BQ17/BQ26)</f>
        <v/>
      </c>
      <c r="BR27" s="31" t="inlineStr">
        <is>
          <t>InP收入占比。Q2'26已升至约64.5%，是本轮AI光连接周期的核心变量。</t>
        </is>
      </c>
    </row>
    <row r="28">
      <c r="A28" s="4" t="inlineStr">
        <is>
          <t>Mix</t>
        </is>
      </c>
      <c r="B28" s="7" t="inlineStr">
        <is>
          <t>Substrate % of total revenue</t>
        </is>
      </c>
      <c r="C28" s="4" t="inlineStr">
        <is>
          <t>%</t>
        </is>
      </c>
      <c r="D28" s="40">
        <f>IF(D26=0,0,(D17+D23+D24)/D26)</f>
        <v/>
      </c>
      <c r="E28" s="40">
        <f>IF(E26=0,0,(E17+E23+E24)/E26)</f>
        <v/>
      </c>
      <c r="F28" s="40">
        <f>IF(F26=0,0,(F17+F23+F24)/F26)</f>
        <v/>
      </c>
      <c r="G28" s="40">
        <f>IF(G26=0,0,(G17+G23+G24)/G26)</f>
        <v/>
      </c>
      <c r="H28" s="40">
        <f>IF(H26=0,0,(H17+H23+H24)/H26)</f>
        <v/>
      </c>
      <c r="I28" s="40">
        <f>IF(I26=0,0,(I17+I23+I24)/I26)</f>
        <v/>
      </c>
      <c r="J28" s="40">
        <f>IF(J26=0,0,(J17+J23+J24)/J26)</f>
        <v/>
      </c>
      <c r="K28" s="40">
        <f>IF(K26=0,0,(K17+K23+K24)/K26)</f>
        <v/>
      </c>
      <c r="L28" s="40">
        <f>IF(L26=0,0,(L17+L23+L24)/L26)</f>
        <v/>
      </c>
      <c r="M28" s="40">
        <f>IF(M26=0,0,(M17+M23+M24)/M26)</f>
        <v/>
      </c>
      <c r="N28" s="41">
        <f>IF(N26=0,0,(N17+N23+N24)/N26)</f>
        <v/>
      </c>
      <c r="O28" s="42">
        <f>IF(O26=0,0,(O17+O23+O24)/O26)</f>
        <v/>
      </c>
      <c r="P28" s="42">
        <f>IF(P26=0,0,(P17+P23+P24)/P26)</f>
        <v/>
      </c>
      <c r="R28" s="40">
        <f>IF(R26=0,0,(R17+R23+R24)/R26)</f>
        <v/>
      </c>
      <c r="S28" s="40">
        <f>IF(S26=0,0,(S17+S23+S24)/S26)</f>
        <v/>
      </c>
      <c r="T28" s="40">
        <f>IF(T26=0,0,(T17+T23+T24)/T26)</f>
        <v/>
      </c>
      <c r="U28" s="40">
        <f>IF(U26=0,0,(U17+U23+U24)/U26)</f>
        <v/>
      </c>
      <c r="V28" s="40">
        <f>IF(V26=0,0,(V17+V23+V24)/V26)</f>
        <v/>
      </c>
      <c r="W28" s="40">
        <f>IF(W26=0,0,(W17+W23+W24)/W26)</f>
        <v/>
      </c>
      <c r="X28" s="40">
        <f>IF(X26=0,0,(X17+X23+X24)/X26)</f>
        <v/>
      </c>
      <c r="Y28" s="40">
        <f>IF(Y26=0,0,(Y17+Y23+Y24)/Y26)</f>
        <v/>
      </c>
      <c r="Z28" s="40">
        <f>IF(Z26=0,0,(Z17+Z23+Z24)/Z26)</f>
        <v/>
      </c>
      <c r="AA28" s="40">
        <f>IF(AA26=0,0,(AA17+AA23+AA24)/AA26)</f>
        <v/>
      </c>
      <c r="AB28" s="40">
        <f>IF(AB26=0,0,(AB17+AB23+AB24)/AB26)</f>
        <v/>
      </c>
      <c r="AC28" s="40">
        <f>IF(AC26=0,0,(AC17+AC23+AC24)/AC26)</f>
        <v/>
      </c>
      <c r="AD28" s="40">
        <f>IF(AD26=0,0,(AD17+AD23+AD24)/AD26)</f>
        <v/>
      </c>
      <c r="AE28" s="40">
        <f>IF(AE26=0,0,(AE17+AE23+AE24)/AE26)</f>
        <v/>
      </c>
      <c r="AF28" s="40">
        <f>IF(AF26=0,0,(AF17+AF23+AF24)/AF26)</f>
        <v/>
      </c>
      <c r="AG28" s="40">
        <f>IF(AG26=0,0,(AG17+AG23+AG24)/AG26)</f>
        <v/>
      </c>
      <c r="AH28" s="40">
        <f>IF(AH26=0,0,(AH17+AH23+AH24)/AH26)</f>
        <v/>
      </c>
      <c r="AI28" s="40">
        <f>IF(AI26=0,0,(AI17+AI23+AI24)/AI26)</f>
        <v/>
      </c>
      <c r="AJ28" s="40">
        <f>IF(AJ26=0,0,(AJ17+AJ23+AJ24)/AJ26)</f>
        <v/>
      </c>
      <c r="AK28" s="40">
        <f>IF(AK26=0,0,(AK17+AK23+AK24)/AK26)</f>
        <v/>
      </c>
      <c r="AL28" s="40">
        <f>IF(AL26=0,0,(AL17+AL23+AL24)/AL26)</f>
        <v/>
      </c>
      <c r="AM28" s="40">
        <f>IF(AM26=0,0,(AM17+AM23+AM24)/AM26)</f>
        <v/>
      </c>
      <c r="AN28" s="40">
        <f>IF(AN26=0,0,(AN17+AN23+AN24)/AN26)</f>
        <v/>
      </c>
      <c r="AO28" s="40">
        <f>IF(AO26=0,0,(AO17+AO23+AO24)/AO26)</f>
        <v/>
      </c>
      <c r="AP28" s="40">
        <f>IF(AP26=0,0,(AP17+AP23+AP24)/AP26)</f>
        <v/>
      </c>
      <c r="AQ28" s="40">
        <f>IF(AQ26=0,0,(AQ17+AQ23+AQ24)/AQ26)</f>
        <v/>
      </c>
      <c r="AR28" s="40">
        <f>IF(AR26=0,0,(AR17+AR23+AR24)/AR26)</f>
        <v/>
      </c>
      <c r="AS28" s="40">
        <f>IF(AS26=0,0,(AS17+AS23+AS24)/AS26)</f>
        <v/>
      </c>
      <c r="AT28" s="40">
        <f>IF(AT26=0,0,(AT17+AT23+AT24)/AT26)</f>
        <v/>
      </c>
      <c r="AU28" s="40">
        <f>IF(AU26=0,0,(AU17+AU23+AU24)/AU26)</f>
        <v/>
      </c>
      <c r="AV28" s="40">
        <f>IF(AV26=0,0,(AV17+AV23+AV24)/AV26)</f>
        <v/>
      </c>
      <c r="AW28" s="40">
        <f>IF(AW26=0,0,(AW17+AW23+AW24)/AW26)</f>
        <v/>
      </c>
      <c r="AX28" s="40">
        <f>IF(AX26=0,0,(AX17+AX23+AX24)/AX26)</f>
        <v/>
      </c>
      <c r="AY28" s="40">
        <f>IF(AY26=0,0,(AY17+AY23+AY24)/AY26)</f>
        <v/>
      </c>
      <c r="AZ28" s="40">
        <f>IF(AZ26=0,0,(AZ17+AZ23+AZ24)/AZ26)</f>
        <v/>
      </c>
      <c r="BA28" s="40">
        <f>IF(BA26=0,0,(BA17+BA23+BA24)/BA26)</f>
        <v/>
      </c>
      <c r="BB28" s="40">
        <f>IF(BB26=0,0,(BB17+BB23+BB24)/BB26)</f>
        <v/>
      </c>
      <c r="BC28" s="40">
        <f>IF(BC26=0,0,(BC17+BC23+BC24)/BC26)</f>
        <v/>
      </c>
      <c r="BD28" s="40">
        <f>IF(BD26=0,0,(BD17+BD23+BD24)/BD26)</f>
        <v/>
      </c>
      <c r="BE28" s="40">
        <f>IF(BE26=0,0,(BE17+BE23+BE24)/BE26)</f>
        <v/>
      </c>
      <c r="BF28" s="40">
        <f>IF(BF26=0,0,(BF17+BF23+BF24)/BF26)</f>
        <v/>
      </c>
      <c r="BG28" s="40">
        <f>IF(BG26=0,0,(BG17+BG23+BG24)/BG26)</f>
        <v/>
      </c>
      <c r="BH28" s="42">
        <f>IF(BH26=0,0,(BH17+BH23+BH24)/BH26)</f>
        <v/>
      </c>
      <c r="BI28" s="42">
        <f>IF(BI26=0,0,(BI17+BI23+BI24)/BI26)</f>
        <v/>
      </c>
      <c r="BJ28" s="42">
        <f>IF(BJ26=0,0,(BJ17+BJ23+BJ24)/BJ26)</f>
        <v/>
      </c>
      <c r="BK28" s="42">
        <f>IF(BK26=0,0,(BK17+BK23+BK24)/BK26)</f>
        <v/>
      </c>
      <c r="BL28" s="42">
        <f>IF(BL26=0,0,(BL17+BL23+BL24)/BL26)</f>
        <v/>
      </c>
      <c r="BM28" s="42">
        <f>IF(BM26=0,0,(BM17+BM23+BM24)/BM26)</f>
        <v/>
      </c>
      <c r="BN28" s="42">
        <f>IF(BN26=0,0,(BN17+BN23+BN24)/BN26)</f>
        <v/>
      </c>
      <c r="BO28" s="42">
        <f>IF(BO26=0,0,(BO17+BO23+BO24)/BO26)</f>
        <v/>
      </c>
      <c r="BP28" s="42">
        <f>IF(BP26=0,0,(BP17+BP23+BP24)/BP26)</f>
        <v/>
      </c>
      <c r="BQ28" s="42">
        <f>IF(BQ26=0,0,(BQ17+BQ23+BQ24)/BQ26)</f>
        <v/>
      </c>
      <c r="BR28" s="31" t="inlineStr">
        <is>
          <t>衬底（InP+GaAs+Ge）占比。10-K: 2023/24/25为63%/68%/67%。</t>
        </is>
      </c>
    </row>
    <row r="30">
      <c r="A30" s="25" t="inlineStr">
        <is>
          <t>II.  MARGIN / P&amp;L / BALANCE SHEET ASSUMPTIONS  （蓝色=可调假设）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  <c r="BE30" s="26" t="n"/>
      <c r="BF30" s="26" t="n"/>
      <c r="BG30" s="26" t="n"/>
      <c r="BH30" s="26" t="n"/>
      <c r="BI30" s="26" t="n"/>
      <c r="BJ30" s="26" t="n"/>
      <c r="BK30" s="26" t="n"/>
      <c r="BL30" s="26" t="n"/>
      <c r="BM30" s="26" t="n"/>
      <c r="BN30" s="26" t="n"/>
      <c r="BO30" s="26" t="n"/>
      <c r="BP30" s="26" t="n"/>
      <c r="BQ30" s="26" t="n"/>
      <c r="BR30" s="26" t="inlineStr"/>
    </row>
    <row r="31">
      <c r="A31" s="4" t="inlineStr">
        <is>
          <t>P&amp;L</t>
        </is>
      </c>
      <c r="B31" s="7" t="inlineStr">
        <is>
          <t>Company gross margin (implied / assumed)</t>
        </is>
      </c>
      <c r="C31" s="4" t="inlineStr">
        <is>
          <t>%</t>
        </is>
      </c>
      <c r="D31" s="40">
        <f>D53</f>
        <v/>
      </c>
      <c r="E31" s="40">
        <f>E53</f>
        <v/>
      </c>
      <c r="F31" s="40">
        <f>F53</f>
        <v/>
      </c>
      <c r="G31" s="40">
        <f>G53</f>
        <v/>
      </c>
      <c r="H31" s="40">
        <f>H53</f>
        <v/>
      </c>
      <c r="I31" s="40">
        <f>I53</f>
        <v/>
      </c>
      <c r="J31" s="40">
        <f>J53</f>
        <v/>
      </c>
      <c r="K31" s="40">
        <f>K53</f>
        <v/>
      </c>
      <c r="L31" s="40">
        <f>L53</f>
        <v/>
      </c>
      <c r="M31" s="40">
        <f>M53</f>
        <v/>
      </c>
      <c r="N31" s="41">
        <f>N53</f>
        <v/>
      </c>
      <c r="O31" s="42">
        <f>O53</f>
        <v/>
      </c>
      <c r="P31" s="42">
        <f>P53</f>
        <v/>
      </c>
      <c r="R31" s="40">
        <f>R53</f>
        <v/>
      </c>
      <c r="S31" s="40">
        <f>S53</f>
        <v/>
      </c>
      <c r="T31" s="40">
        <f>T53</f>
        <v/>
      </c>
      <c r="U31" s="40">
        <f>U53</f>
        <v/>
      </c>
      <c r="V31" s="40">
        <f>V53</f>
        <v/>
      </c>
      <c r="W31" s="40">
        <f>W53</f>
        <v/>
      </c>
      <c r="X31" s="40">
        <f>X53</f>
        <v/>
      </c>
      <c r="Y31" s="40">
        <f>Y53</f>
        <v/>
      </c>
      <c r="Z31" s="40">
        <f>Z53</f>
        <v/>
      </c>
      <c r="AA31" s="40">
        <f>AA53</f>
        <v/>
      </c>
      <c r="AB31" s="40">
        <f>AB53</f>
        <v/>
      </c>
      <c r="AC31" s="40">
        <f>AC53</f>
        <v/>
      </c>
      <c r="AD31" s="40">
        <f>AD53</f>
        <v/>
      </c>
      <c r="AE31" s="40">
        <f>AE53</f>
        <v/>
      </c>
      <c r="AF31" s="40">
        <f>AF53</f>
        <v/>
      </c>
      <c r="AG31" s="40">
        <f>AG53</f>
        <v/>
      </c>
      <c r="AH31" s="40">
        <f>AH53</f>
        <v/>
      </c>
      <c r="AI31" s="40">
        <f>AI53</f>
        <v/>
      </c>
      <c r="AJ31" s="40">
        <f>AJ53</f>
        <v/>
      </c>
      <c r="AK31" s="40">
        <f>AK53</f>
        <v/>
      </c>
      <c r="AL31" s="40">
        <f>AL53</f>
        <v/>
      </c>
      <c r="AM31" s="40">
        <f>AM53</f>
        <v/>
      </c>
      <c r="AN31" s="40">
        <f>AN53</f>
        <v/>
      </c>
      <c r="AO31" s="40">
        <f>AO53</f>
        <v/>
      </c>
      <c r="AP31" s="40">
        <f>AP53</f>
        <v/>
      </c>
      <c r="AQ31" s="40">
        <f>AQ53</f>
        <v/>
      </c>
      <c r="AR31" s="40">
        <f>AR53</f>
        <v/>
      </c>
      <c r="AS31" s="40">
        <f>AS53</f>
        <v/>
      </c>
      <c r="AT31" s="40">
        <f>AT53</f>
        <v/>
      </c>
      <c r="AU31" s="40">
        <f>AU53</f>
        <v/>
      </c>
      <c r="AV31" s="40">
        <f>AV53</f>
        <v/>
      </c>
      <c r="AW31" s="40">
        <f>AW53</f>
        <v/>
      </c>
      <c r="AX31" s="40">
        <f>AX53</f>
        <v/>
      </c>
      <c r="AY31" s="40">
        <f>AY53</f>
        <v/>
      </c>
      <c r="AZ31" s="40">
        <f>AZ53</f>
        <v/>
      </c>
      <c r="BA31" s="40">
        <f>BA53</f>
        <v/>
      </c>
      <c r="BB31" s="40">
        <f>BB53</f>
        <v/>
      </c>
      <c r="BC31" s="40">
        <f>BC53</f>
        <v/>
      </c>
      <c r="BD31" s="40">
        <f>BD53</f>
        <v/>
      </c>
      <c r="BE31" s="40">
        <f>BE53</f>
        <v/>
      </c>
      <c r="BF31" s="40">
        <f>BF53</f>
        <v/>
      </c>
      <c r="BG31" s="40">
        <f>BG53</f>
        <v/>
      </c>
      <c r="BH31" s="42">
        <f>BH53</f>
        <v/>
      </c>
      <c r="BI31" s="42">
        <f>BI53</f>
        <v/>
      </c>
      <c r="BJ31" s="42">
        <f>BJ53</f>
        <v/>
      </c>
      <c r="BK31" s="42">
        <f>BK53</f>
        <v/>
      </c>
      <c r="BL31" s="42">
        <f>BL53</f>
        <v/>
      </c>
      <c r="BM31" s="42">
        <f>BM53</f>
        <v/>
      </c>
      <c r="BN31" s="42">
        <f>BN53</f>
        <v/>
      </c>
      <c r="BO31" s="42">
        <f>BO53</f>
        <v/>
      </c>
      <c r="BP31" s="42">
        <f>BP53</f>
        <v/>
      </c>
      <c r="BQ31" s="42">
        <f>BQ53</f>
        <v/>
      </c>
      <c r="BR31" s="31" t="inlineStr">
        <is>
          <t>历史=GP/Rev公式；预测不直接用此行驱动（由InP单片COGS+其他产品隐含COGS推出），本行作对照。</t>
        </is>
      </c>
    </row>
    <row r="32">
      <c r="A32" s="4" t="inlineStr">
        <is>
          <t>P&amp;L</t>
        </is>
      </c>
      <c r="B32" s="7" t="inlineStr">
        <is>
          <t>Non-InP blended gross margin</t>
        </is>
      </c>
      <c r="C32" s="4" t="inlineStr">
        <is>
          <t>%</t>
        </is>
      </c>
      <c r="D32" s="40">
        <f>IF(D50-D17=0,0,(D52-D22)/(D50-D17))</f>
        <v/>
      </c>
      <c r="E32" s="40">
        <f>IF(E50-E17=0,0,(E52-E22)/(E50-E17))</f>
        <v/>
      </c>
      <c r="F32" s="40">
        <f>IF(F50-F17=0,0,(F52-F22)/(F50-F17))</f>
        <v/>
      </c>
      <c r="G32" s="40">
        <f>IF(G50-G17=0,0,(G52-G22)/(G50-G17))</f>
        <v/>
      </c>
      <c r="H32" s="40">
        <f>IF(H50-H17=0,0,(H52-H22)/(H50-H17))</f>
        <v/>
      </c>
      <c r="I32" s="40">
        <f>IF(I50-I17=0,0,(I52-I22)/(I50-I17))</f>
        <v/>
      </c>
      <c r="J32" s="40">
        <f>IF(J50-J17=0,0,(J52-J22)/(J50-J17))</f>
        <v/>
      </c>
      <c r="K32" s="40">
        <f>IF(K50-K17=0,0,(K52-K22)/(K50-K17))</f>
        <v/>
      </c>
      <c r="L32" s="40">
        <f>IF(L50-L17=0,0,(L52-L22)/(L50-L17))</f>
        <v/>
      </c>
      <c r="M32" s="40">
        <f>IF(M50-M17=0,0,(M52-M22)/(M50-M17))</f>
        <v/>
      </c>
      <c r="N32" s="41">
        <f>IF(N50-N17=0,0,(N52-N22)/(N50-N17))</f>
        <v/>
      </c>
      <c r="O32" s="42">
        <f>IF(O50-O17=0,0,(O52-O22)/(O50-O17))</f>
        <v/>
      </c>
      <c r="P32" s="42">
        <f>IF(P50-P17=0,0,(P52-P22)/(P50-P17))</f>
        <v/>
      </c>
      <c r="R32" s="40">
        <f>IF(R50-R17=0,0,(R52-R22)/MAX(R50-R17,1))</f>
        <v/>
      </c>
      <c r="S32" s="40">
        <f>IF(S50-S17=0,0,(S52-S22)/MAX(S50-S17,1))</f>
        <v/>
      </c>
      <c r="T32" s="40">
        <f>IF(T50-T17=0,0,(T52-T22)/MAX(T50-T17,1))</f>
        <v/>
      </c>
      <c r="U32" s="40">
        <f>IF(U50-U17=0,0,(U52-U22)/MAX(U50-U17,1))</f>
        <v/>
      </c>
      <c r="V32" s="40">
        <f>IF(V50-V17=0,0,(V52-V22)/MAX(V50-V17,1))</f>
        <v/>
      </c>
      <c r="W32" s="40">
        <f>IF(W50-W17=0,0,(W52-W22)/MAX(W50-W17,1))</f>
        <v/>
      </c>
      <c r="X32" s="40">
        <f>IF(X50-X17=0,0,(X52-X22)/MAX(X50-X17,1))</f>
        <v/>
      </c>
      <c r="Y32" s="40">
        <f>IF(Y50-Y17=0,0,(Y52-Y22)/MAX(Y50-Y17,1))</f>
        <v/>
      </c>
      <c r="Z32" s="40">
        <f>IF(Z50-Z17=0,0,(Z52-Z22)/MAX(Z50-Z17,1))</f>
        <v/>
      </c>
      <c r="AA32" s="40">
        <f>IF(AA50-AA17=0,0,(AA52-AA22)/MAX(AA50-AA17,1))</f>
        <v/>
      </c>
      <c r="AB32" s="40">
        <f>IF(AB50-AB17=0,0,(AB52-AB22)/MAX(AB50-AB17,1))</f>
        <v/>
      </c>
      <c r="AC32" s="40">
        <f>IF(AC50-AC17=0,0,(AC52-AC22)/MAX(AC50-AC17,1))</f>
        <v/>
      </c>
      <c r="AD32" s="40">
        <f>IF(AD50-AD17=0,0,(AD52-AD22)/MAX(AD50-AD17,1))</f>
        <v/>
      </c>
      <c r="AE32" s="40">
        <f>IF(AE50-AE17=0,0,(AE52-AE22)/MAX(AE50-AE17,1))</f>
        <v/>
      </c>
      <c r="AF32" s="40">
        <f>IF(AF50-AF17=0,0,(AF52-AF22)/MAX(AF50-AF17,1))</f>
        <v/>
      </c>
      <c r="AG32" s="40">
        <f>IF(AG50-AG17=0,0,(AG52-AG22)/MAX(AG50-AG17,1))</f>
        <v/>
      </c>
      <c r="AH32" s="40">
        <f>IF(AH50-AH17=0,0,(AH52-AH22)/MAX(AH50-AH17,1))</f>
        <v/>
      </c>
      <c r="AI32" s="40">
        <f>IF(AI50-AI17=0,0,(AI52-AI22)/MAX(AI50-AI17,1))</f>
        <v/>
      </c>
      <c r="AJ32" s="40">
        <f>IF(AJ50-AJ17=0,0,(AJ52-AJ22)/MAX(AJ50-AJ17,1))</f>
        <v/>
      </c>
      <c r="AK32" s="40">
        <f>IF(AK50-AK17=0,0,(AK52-AK22)/MAX(AK50-AK17,1))</f>
        <v/>
      </c>
      <c r="AL32" s="40">
        <f>IF(AL50-AL17=0,0,(AL52-AL22)/MAX(AL50-AL17,1))</f>
        <v/>
      </c>
      <c r="AM32" s="40">
        <f>IF(AM50-AM17=0,0,(AM52-AM22)/MAX(AM50-AM17,1))</f>
        <v/>
      </c>
      <c r="AN32" s="40">
        <f>IF(AN50-AN17=0,0,(AN52-AN22)/MAX(AN50-AN17,1))</f>
        <v/>
      </c>
      <c r="AO32" s="40">
        <f>IF(AO50-AO17=0,0,(AO52-AO22)/MAX(AO50-AO17,1))</f>
        <v/>
      </c>
      <c r="AP32" s="40">
        <f>IF(AP50-AP17=0,0,(AP52-AP22)/MAX(AP50-AP17,1))</f>
        <v/>
      </c>
      <c r="AQ32" s="40">
        <f>IF(AQ50-AQ17=0,0,(AQ52-AQ22)/MAX(AQ50-AQ17,1))</f>
        <v/>
      </c>
      <c r="AR32" s="40">
        <f>IF(AR50-AR17=0,0,(AR52-AR22)/MAX(AR50-AR17,1))</f>
        <v/>
      </c>
      <c r="AS32" s="40">
        <f>IF(AS50-AS17=0,0,(AS52-AS22)/MAX(AS50-AS17,1))</f>
        <v/>
      </c>
      <c r="AT32" s="40">
        <f>IF(AT50-AT17=0,0,(AT52-AT22)/MAX(AT50-AT17,1))</f>
        <v/>
      </c>
      <c r="AU32" s="40">
        <f>IF(AU50-AU17=0,0,(AU52-AU22)/MAX(AU50-AU17,1))</f>
        <v/>
      </c>
      <c r="AV32" s="40">
        <f>IF(AV50-AV17=0,0,(AV52-AV22)/MAX(AV50-AV17,1))</f>
        <v/>
      </c>
      <c r="AW32" s="40">
        <f>IF(AW50-AW17=0,0,(AW52-AW22)/MAX(AW50-AW17,1))</f>
        <v/>
      </c>
      <c r="AX32" s="40">
        <f>IF(AX50-AX17=0,0,(AX52-AX22)/MAX(AX50-AX17,1))</f>
        <v/>
      </c>
      <c r="AY32" s="40">
        <f>IF(AY50-AY17=0,0,(AY52-AY22)/MAX(AY50-AY17,1))</f>
        <v/>
      </c>
      <c r="AZ32" s="40">
        <f>IF(AZ50-AZ17=0,0,(AZ52-AZ22)/MAX(AZ50-AZ17,1))</f>
        <v/>
      </c>
      <c r="BA32" s="40">
        <f>IF(BA50-BA17=0,0,(BA52-BA22)/MAX(BA50-BA17,1))</f>
        <v/>
      </c>
      <c r="BB32" s="40">
        <f>IF(BB50-BB17=0,0,(BB52-BB22)/MAX(BB50-BB17,1))</f>
        <v/>
      </c>
      <c r="BC32" s="40">
        <f>IF(BC50-BC17=0,0,(BC52-BC22)/MAX(BC50-BC17,1))</f>
        <v/>
      </c>
      <c r="BD32" s="40">
        <f>IF(BD50-BD17=0,0,(BD52-BD22)/MAX(BD50-BD17,1))</f>
        <v/>
      </c>
      <c r="BE32" s="40">
        <f>IF(BE50-BE17=0,0,(BE52-BE22)/MAX(BE50-BE17,1))</f>
        <v/>
      </c>
      <c r="BF32" s="40">
        <f>IF(BF50-BF17=0,0,(BF52-BF22)/MAX(BF50-BF17,1))</f>
        <v/>
      </c>
      <c r="BG32" s="40">
        <f>IF(BG50-BG17=0,0,(BG52-BG22)/MAX(BG50-BG17,1))</f>
        <v/>
      </c>
      <c r="BH32" s="46" t="n">
        <v>0.2</v>
      </c>
      <c r="BI32" s="46" t="n">
        <v>0.2</v>
      </c>
      <c r="BJ32" s="46" t="n">
        <v>0.2</v>
      </c>
      <c r="BK32" s="46" t="n">
        <v>0.2</v>
      </c>
      <c r="BL32" s="46" t="n">
        <v>0.2</v>
      </c>
      <c r="BM32" s="46" t="n">
        <v>0.2</v>
      </c>
      <c r="BN32" s="46" t="n">
        <v>0.2</v>
      </c>
      <c r="BO32" s="46" t="n">
        <v>0.2</v>
      </c>
      <c r="BP32" s="46" t="n">
        <v>0.2</v>
      </c>
      <c r="BQ32" s="46" t="n">
        <v>0.2</v>
      </c>
      <c r="BR32" s="31" t="inlineStr">
        <is>
          <t>GaAs/Ge/原材料综合毛利率假设。原材料与Ge拉低公司毛利率；预测随InP占比提升，非InP GM稳定在18–22%。历史=（总COGS−InP COGS）/非InP收入反推。</t>
        </is>
      </c>
    </row>
    <row r="33">
      <c r="A33" s="4" t="inlineStr">
        <is>
          <t>P&amp;L</t>
        </is>
      </c>
      <c r="B33" s="7" t="inlineStr">
        <is>
          <t>SG&amp;A</t>
        </is>
      </c>
      <c r="C33" s="4" t="inlineStr">
        <is>
          <t>$000</t>
        </is>
      </c>
      <c r="D33" s="43">
        <f>D54</f>
        <v/>
      </c>
      <c r="E33" s="43">
        <f>E54</f>
        <v/>
      </c>
      <c r="F33" s="43">
        <f>F54</f>
        <v/>
      </c>
      <c r="G33" s="43">
        <f>G54</f>
        <v/>
      </c>
      <c r="H33" s="43">
        <f>H54</f>
        <v/>
      </c>
      <c r="I33" s="43">
        <f>I54</f>
        <v/>
      </c>
      <c r="J33" s="43">
        <f>J54</f>
        <v/>
      </c>
      <c r="K33" s="43">
        <f>K54</f>
        <v/>
      </c>
      <c r="L33" s="43">
        <f>L54</f>
        <v/>
      </c>
      <c r="M33" s="43">
        <f>M54</f>
        <v/>
      </c>
      <c r="N33" s="37">
        <f>N54</f>
        <v/>
      </c>
      <c r="O33" s="38">
        <f>O54</f>
        <v/>
      </c>
      <c r="P33" s="38">
        <f>P54</f>
        <v/>
      </c>
      <c r="R33" s="43">
        <f>R54</f>
        <v/>
      </c>
      <c r="S33" s="43">
        <f>S54</f>
        <v/>
      </c>
      <c r="T33" s="43">
        <f>T54</f>
        <v/>
      </c>
      <c r="U33" s="43">
        <f>U54</f>
        <v/>
      </c>
      <c r="V33" s="43">
        <f>V54</f>
        <v/>
      </c>
      <c r="W33" s="43">
        <f>W54</f>
        <v/>
      </c>
      <c r="X33" s="43">
        <f>X54</f>
        <v/>
      </c>
      <c r="Y33" s="43">
        <f>Y54</f>
        <v/>
      </c>
      <c r="Z33" s="43">
        <f>Z54</f>
        <v/>
      </c>
      <c r="AA33" s="43">
        <f>AA54</f>
        <v/>
      </c>
      <c r="AB33" s="43">
        <f>AB54</f>
        <v/>
      </c>
      <c r="AC33" s="43">
        <f>AC54</f>
        <v/>
      </c>
      <c r="AD33" s="43">
        <f>AD54</f>
        <v/>
      </c>
      <c r="AE33" s="43">
        <f>AE54</f>
        <v/>
      </c>
      <c r="AF33" s="43">
        <f>AF54</f>
        <v/>
      </c>
      <c r="AG33" s="43">
        <f>AG54</f>
        <v/>
      </c>
      <c r="AH33" s="43">
        <f>AH54</f>
        <v/>
      </c>
      <c r="AI33" s="43">
        <f>AI54</f>
        <v/>
      </c>
      <c r="AJ33" s="43">
        <f>AJ54</f>
        <v/>
      </c>
      <c r="AK33" s="43">
        <f>AK54</f>
        <v/>
      </c>
      <c r="AL33" s="43">
        <f>AL54</f>
        <v/>
      </c>
      <c r="AM33" s="43">
        <f>AM54</f>
        <v/>
      </c>
      <c r="AN33" s="43">
        <f>AN54</f>
        <v/>
      </c>
      <c r="AO33" s="43">
        <f>AO54</f>
        <v/>
      </c>
      <c r="AP33" s="43">
        <f>AP54</f>
        <v/>
      </c>
      <c r="AQ33" s="43">
        <f>AQ54</f>
        <v/>
      </c>
      <c r="AR33" s="43">
        <f>AR54</f>
        <v/>
      </c>
      <c r="AS33" s="43">
        <f>AS54</f>
        <v/>
      </c>
      <c r="AT33" s="43">
        <f>AT54</f>
        <v/>
      </c>
      <c r="AU33" s="43">
        <f>AU54</f>
        <v/>
      </c>
      <c r="AV33" s="43">
        <f>AV54</f>
        <v/>
      </c>
      <c r="AW33" s="43">
        <f>AW54</f>
        <v/>
      </c>
      <c r="AX33" s="43">
        <f>AX54</f>
        <v/>
      </c>
      <c r="AY33" s="43">
        <f>AY54</f>
        <v/>
      </c>
      <c r="AZ33" s="43">
        <f>AZ54</f>
        <v/>
      </c>
      <c r="BA33" s="43">
        <f>BA54</f>
        <v/>
      </c>
      <c r="BB33" s="43">
        <f>BB54</f>
        <v/>
      </c>
      <c r="BC33" s="43">
        <f>BC54</f>
        <v/>
      </c>
      <c r="BD33" s="43">
        <f>BD54</f>
        <v/>
      </c>
      <c r="BE33" s="43">
        <f>BE54</f>
        <v/>
      </c>
      <c r="BF33" s="43">
        <f>BF54</f>
        <v/>
      </c>
      <c r="BG33" s="43">
        <f>BG54</f>
        <v/>
      </c>
      <c r="BH33" s="44" t="n">
        <v>7600</v>
      </c>
      <c r="BI33" s="44" t="n">
        <v>7800</v>
      </c>
      <c r="BJ33" s="44" t="n">
        <v>8000</v>
      </c>
      <c r="BK33" s="44" t="n">
        <v>8200</v>
      </c>
      <c r="BL33" s="44" t="n">
        <v>8500</v>
      </c>
      <c r="BM33" s="44" t="n">
        <v>8800</v>
      </c>
      <c r="BN33" s="44" t="n">
        <v>9000</v>
      </c>
      <c r="BO33" s="44" t="n">
        <v>9200</v>
      </c>
      <c r="BP33" s="44" t="n">
        <v>9400</v>
      </c>
      <c r="BQ33" s="44" t="n">
        <v>9600</v>
      </c>
      <c r="BR33" s="31" t="inlineStr">
        <is>
          <t>销售管理费用。历史硬编码；预测按绝对额（半固定，随规模缓增）。近年约$5.6–7.3m/季。</t>
        </is>
      </c>
    </row>
    <row r="34">
      <c r="A34" s="4" t="inlineStr">
        <is>
          <t>P&amp;L</t>
        </is>
      </c>
      <c r="B34" s="7" t="inlineStr">
        <is>
          <t>R&amp;D</t>
        </is>
      </c>
      <c r="C34" s="4" t="inlineStr">
        <is>
          <t>$000</t>
        </is>
      </c>
      <c r="D34" s="43">
        <f>D55</f>
        <v/>
      </c>
      <c r="E34" s="43">
        <f>E55</f>
        <v/>
      </c>
      <c r="F34" s="43">
        <f>F55</f>
        <v/>
      </c>
      <c r="G34" s="43">
        <f>G55</f>
        <v/>
      </c>
      <c r="H34" s="43">
        <f>H55</f>
        <v/>
      </c>
      <c r="I34" s="43">
        <f>I55</f>
        <v/>
      </c>
      <c r="J34" s="43">
        <f>J55</f>
        <v/>
      </c>
      <c r="K34" s="43">
        <f>K55</f>
        <v/>
      </c>
      <c r="L34" s="43">
        <f>L55</f>
        <v/>
      </c>
      <c r="M34" s="43">
        <f>M55</f>
        <v/>
      </c>
      <c r="N34" s="37">
        <f>N55</f>
        <v/>
      </c>
      <c r="O34" s="38">
        <f>O55</f>
        <v/>
      </c>
      <c r="P34" s="38">
        <f>P55</f>
        <v/>
      </c>
      <c r="R34" s="43">
        <f>R55</f>
        <v/>
      </c>
      <c r="S34" s="43">
        <f>S55</f>
        <v/>
      </c>
      <c r="T34" s="43">
        <f>T55</f>
        <v/>
      </c>
      <c r="U34" s="43">
        <f>U55</f>
        <v/>
      </c>
      <c r="V34" s="43">
        <f>V55</f>
        <v/>
      </c>
      <c r="W34" s="43">
        <f>W55</f>
        <v/>
      </c>
      <c r="X34" s="43">
        <f>X55</f>
        <v/>
      </c>
      <c r="Y34" s="43">
        <f>Y55</f>
        <v/>
      </c>
      <c r="Z34" s="43">
        <f>Z55</f>
        <v/>
      </c>
      <c r="AA34" s="43">
        <f>AA55</f>
        <v/>
      </c>
      <c r="AB34" s="43">
        <f>AB55</f>
        <v/>
      </c>
      <c r="AC34" s="43">
        <f>AC55</f>
        <v/>
      </c>
      <c r="AD34" s="43">
        <f>AD55</f>
        <v/>
      </c>
      <c r="AE34" s="43">
        <f>AE55</f>
        <v/>
      </c>
      <c r="AF34" s="43">
        <f>AF55</f>
        <v/>
      </c>
      <c r="AG34" s="43">
        <f>AG55</f>
        <v/>
      </c>
      <c r="AH34" s="43">
        <f>AH55</f>
        <v/>
      </c>
      <c r="AI34" s="43">
        <f>AI55</f>
        <v/>
      </c>
      <c r="AJ34" s="43">
        <f>AJ55</f>
        <v/>
      </c>
      <c r="AK34" s="43">
        <f>AK55</f>
        <v/>
      </c>
      <c r="AL34" s="43">
        <f>AL55</f>
        <v/>
      </c>
      <c r="AM34" s="43">
        <f>AM55</f>
        <v/>
      </c>
      <c r="AN34" s="43">
        <f>AN55</f>
        <v/>
      </c>
      <c r="AO34" s="43">
        <f>AO55</f>
        <v/>
      </c>
      <c r="AP34" s="43">
        <f>AP55</f>
        <v/>
      </c>
      <c r="AQ34" s="43">
        <f>AQ55</f>
        <v/>
      </c>
      <c r="AR34" s="43">
        <f>AR55</f>
        <v/>
      </c>
      <c r="AS34" s="43">
        <f>AS55</f>
        <v/>
      </c>
      <c r="AT34" s="43">
        <f>AT55</f>
        <v/>
      </c>
      <c r="AU34" s="43">
        <f>AU55</f>
        <v/>
      </c>
      <c r="AV34" s="43">
        <f>AV55</f>
        <v/>
      </c>
      <c r="AW34" s="43">
        <f>AW55</f>
        <v/>
      </c>
      <c r="AX34" s="43">
        <f>AX55</f>
        <v/>
      </c>
      <c r="AY34" s="43">
        <f>AY55</f>
        <v/>
      </c>
      <c r="AZ34" s="43">
        <f>AZ55</f>
        <v/>
      </c>
      <c r="BA34" s="43">
        <f>BA55</f>
        <v/>
      </c>
      <c r="BB34" s="43">
        <f>BB55</f>
        <v/>
      </c>
      <c r="BC34" s="43">
        <f>BC55</f>
        <v/>
      </c>
      <c r="BD34" s="43">
        <f>BD55</f>
        <v/>
      </c>
      <c r="BE34" s="43">
        <f>BE55</f>
        <v/>
      </c>
      <c r="BF34" s="43">
        <f>BF55</f>
        <v/>
      </c>
      <c r="BG34" s="43">
        <f>BG55</f>
        <v/>
      </c>
      <c r="BH34" s="44" t="n">
        <v>3800</v>
      </c>
      <c r="BI34" s="44" t="n">
        <v>3900</v>
      </c>
      <c r="BJ34" s="44" t="n">
        <v>4000</v>
      </c>
      <c r="BK34" s="44" t="n">
        <v>4100</v>
      </c>
      <c r="BL34" s="44" t="n">
        <v>4200</v>
      </c>
      <c r="BM34" s="44" t="n">
        <v>4300</v>
      </c>
      <c r="BN34" s="44" t="n">
        <v>4400</v>
      </c>
      <c r="BO34" s="44" t="n">
        <v>4500</v>
      </c>
      <c r="BP34" s="44" t="n">
        <v>4500</v>
      </c>
      <c r="BQ34" s="44" t="n">
        <v>4500</v>
      </c>
      <c r="BR34" s="31" t="inlineStr">
        <is>
          <t>研发。6" InP与8" GaAs开发费用在2023–24较高；2025回落。预测维持$3.8–4.5m/季。</t>
        </is>
      </c>
    </row>
    <row r="35">
      <c r="A35" s="4" t="inlineStr">
        <is>
          <t>P&amp;L</t>
        </is>
      </c>
      <c r="B35" s="7" t="inlineStr">
        <is>
          <t>Effective tax rate</t>
        </is>
      </c>
      <c r="C35" s="4" t="inlineStr">
        <is>
          <t>%</t>
        </is>
      </c>
      <c r="D35" s="40">
        <f>IF(D62=0,0,D63/D62)</f>
        <v/>
      </c>
      <c r="E35" s="40">
        <f>IF(E62=0,0,E63/E62)</f>
        <v/>
      </c>
      <c r="F35" s="40">
        <f>IF(F62=0,0,F63/F62)</f>
        <v/>
      </c>
      <c r="G35" s="40">
        <f>IF(G62=0,0,G63/G62)</f>
        <v/>
      </c>
      <c r="H35" s="40">
        <f>IF(H62=0,0,H63/H62)</f>
        <v/>
      </c>
      <c r="I35" s="40">
        <f>IF(I62=0,0,I63/I62)</f>
        <v/>
      </c>
      <c r="J35" s="40">
        <f>IF(J62=0,0,J63/J62)</f>
        <v/>
      </c>
      <c r="K35" s="40">
        <f>IF(K62=0,0,K63/K62)</f>
        <v/>
      </c>
      <c r="L35" s="40">
        <f>IF(L62=0,0,L63/L62)</f>
        <v/>
      </c>
      <c r="M35" s="40">
        <f>IF(M62=0,0,M63/M62)</f>
        <v/>
      </c>
      <c r="N35" s="41">
        <f>IF(N62=0,0,N63/N62)</f>
        <v/>
      </c>
      <c r="O35" s="42">
        <f>IF(O62=0,0,O63/O62)</f>
        <v/>
      </c>
      <c r="P35" s="42">
        <f>IF(P62=0,0,P63/P62)</f>
        <v/>
      </c>
      <c r="R35" s="40">
        <f>IF(R62=0,0,R63/R62)</f>
        <v/>
      </c>
      <c r="S35" s="40">
        <f>IF(S62=0,0,S63/S62)</f>
        <v/>
      </c>
      <c r="T35" s="40">
        <f>IF(T62=0,0,T63/T62)</f>
        <v/>
      </c>
      <c r="U35" s="40">
        <f>IF(U62=0,0,U63/U62)</f>
        <v/>
      </c>
      <c r="V35" s="40">
        <f>IF(V62=0,0,V63/V62)</f>
        <v/>
      </c>
      <c r="W35" s="40">
        <f>IF(W62=0,0,W63/W62)</f>
        <v/>
      </c>
      <c r="X35" s="40">
        <f>IF(X62=0,0,X63/X62)</f>
        <v/>
      </c>
      <c r="Y35" s="40">
        <f>IF(Y62=0,0,Y63/Y62)</f>
        <v/>
      </c>
      <c r="Z35" s="40">
        <f>IF(Z62=0,0,Z63/Z62)</f>
        <v/>
      </c>
      <c r="AA35" s="40">
        <f>IF(AA62=0,0,AA63/AA62)</f>
        <v/>
      </c>
      <c r="AB35" s="40">
        <f>IF(AB62=0,0,AB63/AB62)</f>
        <v/>
      </c>
      <c r="AC35" s="40">
        <f>IF(AC62=0,0,AC63/AC62)</f>
        <v/>
      </c>
      <c r="AD35" s="40">
        <f>IF(AD62=0,0,AD63/AD62)</f>
        <v/>
      </c>
      <c r="AE35" s="40">
        <f>IF(AE62=0,0,AE63/AE62)</f>
        <v/>
      </c>
      <c r="AF35" s="40">
        <f>IF(AF62=0,0,AF63/AF62)</f>
        <v/>
      </c>
      <c r="AG35" s="40">
        <f>IF(AG62=0,0,AG63/AG62)</f>
        <v/>
      </c>
      <c r="AH35" s="40">
        <f>IF(AH62=0,0,AH63/AH62)</f>
        <v/>
      </c>
      <c r="AI35" s="40">
        <f>IF(AI62=0,0,AI63/AI62)</f>
        <v/>
      </c>
      <c r="AJ35" s="40">
        <f>IF(AJ62=0,0,AJ63/AJ62)</f>
        <v/>
      </c>
      <c r="AK35" s="40">
        <f>IF(AK62=0,0,AK63/AK62)</f>
        <v/>
      </c>
      <c r="AL35" s="40">
        <f>IF(AL62=0,0,AL63/AL62)</f>
        <v/>
      </c>
      <c r="AM35" s="40">
        <f>IF(AM62=0,0,AM63/AM62)</f>
        <v/>
      </c>
      <c r="AN35" s="40">
        <f>IF(AN62=0,0,AN63/AN62)</f>
        <v/>
      </c>
      <c r="AO35" s="40">
        <f>IF(AO62=0,0,AO63/AO62)</f>
        <v/>
      </c>
      <c r="AP35" s="40">
        <f>IF(AP62=0,0,AP63/AP62)</f>
        <v/>
      </c>
      <c r="AQ35" s="40">
        <f>IF(AQ62=0,0,AQ63/AQ62)</f>
        <v/>
      </c>
      <c r="AR35" s="40">
        <f>IF(AR62=0,0,AR63/AR62)</f>
        <v/>
      </c>
      <c r="AS35" s="40">
        <f>IF(AS62=0,0,AS63/AS62)</f>
        <v/>
      </c>
      <c r="AT35" s="40">
        <f>IF(AT62=0,0,AT63/AT62)</f>
        <v/>
      </c>
      <c r="AU35" s="40">
        <f>IF(AU62=0,0,AU63/AU62)</f>
        <v/>
      </c>
      <c r="AV35" s="40">
        <f>IF(AV62=0,0,AV63/AV62)</f>
        <v/>
      </c>
      <c r="AW35" s="40">
        <f>IF(AW62=0,0,AW63/AW62)</f>
        <v/>
      </c>
      <c r="AX35" s="40">
        <f>IF(AX62=0,0,AX63/AX62)</f>
        <v/>
      </c>
      <c r="AY35" s="40">
        <f>IF(AY62=0,0,AY63/AY62)</f>
        <v/>
      </c>
      <c r="AZ35" s="40">
        <f>IF(AZ62=0,0,AZ63/AZ62)</f>
        <v/>
      </c>
      <c r="BA35" s="40">
        <f>IF(BA62=0,0,BA63/BA62)</f>
        <v/>
      </c>
      <c r="BB35" s="40">
        <f>IF(BB62=0,0,BB63/BB62)</f>
        <v/>
      </c>
      <c r="BC35" s="40">
        <f>IF(BC62=0,0,BC63/BC62)</f>
        <v/>
      </c>
      <c r="BD35" s="40">
        <f>IF(BD62=0,0,BD63/BD62)</f>
        <v/>
      </c>
      <c r="BE35" s="40">
        <f>IF(BE62=0,0,BE63/BE62)</f>
        <v/>
      </c>
      <c r="BF35" s="40">
        <f>IF(BF62=0,0,BF63/BF62)</f>
        <v/>
      </c>
      <c r="BG35" s="40">
        <f>IF(BG62=0,0,BG63/BG62)</f>
        <v/>
      </c>
      <c r="BH35" s="46" t="n">
        <v>0.18</v>
      </c>
      <c r="BI35" s="46" t="n">
        <v>0.18</v>
      </c>
      <c r="BJ35" s="46" t="n">
        <v>0.18</v>
      </c>
      <c r="BK35" s="46" t="n">
        <v>0.18</v>
      </c>
      <c r="BL35" s="46" t="n">
        <v>0.18</v>
      </c>
      <c r="BM35" s="46" t="n">
        <v>0.18</v>
      </c>
      <c r="BN35" s="46" t="n">
        <v>0.18</v>
      </c>
      <c r="BO35" s="46" t="n">
        <v>0.18</v>
      </c>
      <c r="BP35" s="46" t="n">
        <v>0.18</v>
      </c>
      <c r="BQ35" s="46" t="n">
        <v>0.18</v>
      </c>
      <c r="BR35" s="31" t="inlineStr">
        <is>
          <t>美国NOLs（联邦约$50.5m）使现金税主要来自中国子公司。盈利期用18% ETR；亏损期仍有最低中国税。</t>
        </is>
      </c>
    </row>
    <row r="36">
      <c r="A36" s="4" t="inlineStr">
        <is>
          <t>P&amp;L</t>
        </is>
      </c>
      <c r="B36" s="7" t="inlineStr">
        <is>
          <t>NCI % of consolidated NI</t>
        </is>
      </c>
      <c r="C36" s="4" t="inlineStr">
        <is>
          <t>%</t>
        </is>
      </c>
      <c r="D36" s="40">
        <f>IF(D64=0,0,D65/D64)</f>
        <v/>
      </c>
      <c r="E36" s="40">
        <f>IF(E64=0,0,E65/E64)</f>
        <v/>
      </c>
      <c r="F36" s="40">
        <f>IF(F64=0,0,F65/F64)</f>
        <v/>
      </c>
      <c r="G36" s="40">
        <f>IF(G64=0,0,G65/G64)</f>
        <v/>
      </c>
      <c r="H36" s="40">
        <f>IF(H64=0,0,H65/H64)</f>
        <v/>
      </c>
      <c r="I36" s="40">
        <f>IF(I64=0,0,I65/I64)</f>
        <v/>
      </c>
      <c r="J36" s="40">
        <f>IF(J64=0,0,J65/J64)</f>
        <v/>
      </c>
      <c r="K36" s="40">
        <f>IF(K64=0,0,K65/K64)</f>
        <v/>
      </c>
      <c r="L36" s="40">
        <f>IF(L64=0,0,L65/L64)</f>
        <v/>
      </c>
      <c r="M36" s="40">
        <f>IF(M64=0,0,M65/M64)</f>
        <v/>
      </c>
      <c r="N36" s="41">
        <f>IF(N64=0,0,N65/N64)</f>
        <v/>
      </c>
      <c r="O36" s="42">
        <f>IF(O64=0,0,O65/O64)</f>
        <v/>
      </c>
      <c r="P36" s="42">
        <f>IF(P64=0,0,P65/P64)</f>
        <v/>
      </c>
      <c r="R36" s="40">
        <f>IF(R64=0,0,R65/R64)</f>
        <v/>
      </c>
      <c r="S36" s="40">
        <f>IF(S64=0,0,S65/S64)</f>
        <v/>
      </c>
      <c r="T36" s="40">
        <f>IF(T64=0,0,T65/T64)</f>
        <v/>
      </c>
      <c r="U36" s="40">
        <f>IF(U64=0,0,U65/U64)</f>
        <v/>
      </c>
      <c r="V36" s="40">
        <f>IF(V64=0,0,V65/V64)</f>
        <v/>
      </c>
      <c r="W36" s="40">
        <f>IF(W64=0,0,W65/W64)</f>
        <v/>
      </c>
      <c r="X36" s="40">
        <f>IF(X64=0,0,X65/X64)</f>
        <v/>
      </c>
      <c r="Y36" s="40">
        <f>IF(Y64=0,0,Y65/Y64)</f>
        <v/>
      </c>
      <c r="Z36" s="40">
        <f>IF(Z64=0,0,Z65/Z64)</f>
        <v/>
      </c>
      <c r="AA36" s="40">
        <f>IF(AA64=0,0,AA65/AA64)</f>
        <v/>
      </c>
      <c r="AB36" s="40">
        <f>IF(AB64=0,0,AB65/AB64)</f>
        <v/>
      </c>
      <c r="AC36" s="40">
        <f>IF(AC64=0,0,AC65/AC64)</f>
        <v/>
      </c>
      <c r="AD36" s="40">
        <f>IF(AD64=0,0,AD65/AD64)</f>
        <v/>
      </c>
      <c r="AE36" s="40">
        <f>IF(AE64=0,0,AE65/AE64)</f>
        <v/>
      </c>
      <c r="AF36" s="40">
        <f>IF(AF64=0,0,AF65/AF64)</f>
        <v/>
      </c>
      <c r="AG36" s="40">
        <f>IF(AG64=0,0,AG65/AG64)</f>
        <v/>
      </c>
      <c r="AH36" s="40">
        <f>IF(AH64=0,0,AH65/AH64)</f>
        <v/>
      </c>
      <c r="AI36" s="40">
        <f>IF(AI64=0,0,AI65/AI64)</f>
        <v/>
      </c>
      <c r="AJ36" s="40">
        <f>IF(AJ64=0,0,AJ65/AJ64)</f>
        <v/>
      </c>
      <c r="AK36" s="40">
        <f>IF(AK64=0,0,AK65/AK64)</f>
        <v/>
      </c>
      <c r="AL36" s="40">
        <f>IF(AL64=0,0,AL65/AL64)</f>
        <v/>
      </c>
      <c r="AM36" s="40">
        <f>IF(AM64=0,0,AM65/AM64)</f>
        <v/>
      </c>
      <c r="AN36" s="40">
        <f>IF(AN64=0,0,AN65/AN64)</f>
        <v/>
      </c>
      <c r="AO36" s="40">
        <f>IF(AO64=0,0,AO65/AO64)</f>
        <v/>
      </c>
      <c r="AP36" s="40">
        <f>IF(AP64=0,0,AP65/AP64)</f>
        <v/>
      </c>
      <c r="AQ36" s="40">
        <f>IF(AQ64=0,0,AQ65/AQ64)</f>
        <v/>
      </c>
      <c r="AR36" s="40">
        <f>IF(AR64=0,0,AR65/AR64)</f>
        <v/>
      </c>
      <c r="AS36" s="40">
        <f>IF(AS64=0,0,AS65/AS64)</f>
        <v/>
      </c>
      <c r="AT36" s="40">
        <f>IF(AT64=0,0,AT65/AT64)</f>
        <v/>
      </c>
      <c r="AU36" s="40">
        <f>IF(AU64=0,0,AU65/AU64)</f>
        <v/>
      </c>
      <c r="AV36" s="40">
        <f>IF(AV64=0,0,AV65/AV64)</f>
        <v/>
      </c>
      <c r="AW36" s="40">
        <f>IF(AW64=0,0,AW65/AW64)</f>
        <v/>
      </c>
      <c r="AX36" s="40">
        <f>IF(AX64=0,0,AX65/AX64)</f>
        <v/>
      </c>
      <c r="AY36" s="40">
        <f>IF(AY64=0,0,AY65/AY64)</f>
        <v/>
      </c>
      <c r="AZ36" s="40">
        <f>IF(AZ64=0,0,AZ65/AZ64)</f>
        <v/>
      </c>
      <c r="BA36" s="40">
        <f>IF(BA64=0,0,BA65/BA64)</f>
        <v/>
      </c>
      <c r="BB36" s="40">
        <f>IF(BB64=0,0,BB65/BB64)</f>
        <v/>
      </c>
      <c r="BC36" s="40">
        <f>IF(BC64=0,0,BC65/BC64)</f>
        <v/>
      </c>
      <c r="BD36" s="40">
        <f>IF(BD64=0,0,BD65/BD64)</f>
        <v/>
      </c>
      <c r="BE36" s="40">
        <f>IF(BE64=0,0,BE65/BE64)</f>
        <v/>
      </c>
      <c r="BF36" s="40">
        <f>IF(BF64=0,0,BF65/BF64)</f>
        <v/>
      </c>
      <c r="BG36" s="40">
        <f>IF(BG64=0,0,BG65/BG64)</f>
        <v/>
      </c>
      <c r="BH36" s="46" t="n">
        <v>0.14</v>
      </c>
      <c r="BI36" s="46" t="n">
        <v>0.14</v>
      </c>
      <c r="BJ36" s="46" t="n">
        <v>0.14</v>
      </c>
      <c r="BK36" s="46" t="n">
        <v>0.14</v>
      </c>
      <c r="BL36" s="46" t="n">
        <v>0.14</v>
      </c>
      <c r="BM36" s="46" t="n">
        <v>0.14</v>
      </c>
      <c r="BN36" s="46" t="n">
        <v>0.14</v>
      </c>
      <c r="BO36" s="46" t="n">
        <v>0.14</v>
      </c>
      <c r="BP36" s="46" t="n">
        <v>0.14</v>
      </c>
      <c r="BQ36" s="46" t="n">
        <v>0.14</v>
      </c>
      <c r="BR36" s="31" t="inlineStr">
        <is>
          <t>Tongmei少数股东及可赎回NCI约14.5%（2026Q2 10-Q）。预测按14%税后利润归属NCI。</t>
        </is>
      </c>
    </row>
    <row r="37">
      <c r="A37" s="4" t="inlineStr">
        <is>
          <t>P&amp;L</t>
        </is>
      </c>
      <c r="B37" s="7" t="inlineStr">
        <is>
          <t>Cash &amp; investments quarterly yield</t>
        </is>
      </c>
      <c r="C37" s="4" t="inlineStr">
        <is>
          <t>%</t>
        </is>
      </c>
      <c r="D37" s="47" t="n">
        <v>0.01</v>
      </c>
      <c r="E37" s="47" t="n">
        <v>0.01</v>
      </c>
      <c r="F37" s="47" t="n">
        <v>0.01</v>
      </c>
      <c r="G37" s="47" t="n">
        <v>0.01</v>
      </c>
      <c r="H37" s="47" t="n">
        <v>0.01</v>
      </c>
      <c r="I37" s="47" t="n">
        <v>0.01</v>
      </c>
      <c r="J37" s="47" t="n">
        <v>0.01</v>
      </c>
      <c r="K37" s="47" t="n">
        <v>0.01</v>
      </c>
      <c r="L37" s="47" t="n">
        <v>0.01</v>
      </c>
      <c r="M37" s="47" t="n">
        <v>0.01</v>
      </c>
      <c r="N37" s="48" t="n">
        <v>0.01</v>
      </c>
      <c r="O37" s="46" t="n">
        <v>0.01</v>
      </c>
      <c r="P37" s="46" t="n">
        <v>0.01</v>
      </c>
      <c r="R37" s="47" t="n">
        <v>0.01</v>
      </c>
      <c r="S37" s="47" t="n">
        <v>0.01</v>
      </c>
      <c r="T37" s="47" t="n">
        <v>0.01</v>
      </c>
      <c r="U37" s="47" t="n">
        <v>0.01</v>
      </c>
      <c r="V37" s="47" t="n">
        <v>0.01</v>
      </c>
      <c r="W37" s="47" t="n">
        <v>0.01</v>
      </c>
      <c r="X37" s="47" t="n">
        <v>0.01</v>
      </c>
      <c r="Y37" s="47" t="n">
        <v>0.01</v>
      </c>
      <c r="Z37" s="47" t="n">
        <v>0.01</v>
      </c>
      <c r="AA37" s="47" t="n">
        <v>0.01</v>
      </c>
      <c r="AB37" s="47" t="n">
        <v>0.01</v>
      </c>
      <c r="AC37" s="47" t="n">
        <v>0.01</v>
      </c>
      <c r="AD37" s="47" t="n">
        <v>0.01</v>
      </c>
      <c r="AE37" s="47" t="n">
        <v>0.01</v>
      </c>
      <c r="AF37" s="47" t="n">
        <v>0.01</v>
      </c>
      <c r="AG37" s="47" t="n">
        <v>0.01</v>
      </c>
      <c r="AH37" s="47" t="n">
        <v>0.01</v>
      </c>
      <c r="AI37" s="47" t="n">
        <v>0.01</v>
      </c>
      <c r="AJ37" s="47" t="n">
        <v>0.01</v>
      </c>
      <c r="AK37" s="47" t="n">
        <v>0.01</v>
      </c>
      <c r="AL37" s="47" t="n">
        <v>0.01</v>
      </c>
      <c r="AM37" s="47" t="n">
        <v>0.01</v>
      </c>
      <c r="AN37" s="47" t="n">
        <v>0.01</v>
      </c>
      <c r="AO37" s="47" t="n">
        <v>0.01</v>
      </c>
      <c r="AP37" s="47" t="n">
        <v>0.01</v>
      </c>
      <c r="AQ37" s="47" t="n">
        <v>0.01</v>
      </c>
      <c r="AR37" s="47" t="n">
        <v>0.01</v>
      </c>
      <c r="AS37" s="47" t="n">
        <v>0.01</v>
      </c>
      <c r="AT37" s="47" t="n">
        <v>0.01</v>
      </c>
      <c r="AU37" s="47" t="n">
        <v>0.01</v>
      </c>
      <c r="AV37" s="47" t="n">
        <v>0.01</v>
      </c>
      <c r="AW37" s="47" t="n">
        <v>0.01</v>
      </c>
      <c r="AX37" s="47" t="n">
        <v>0.01</v>
      </c>
      <c r="AY37" s="47" t="n">
        <v>0.01</v>
      </c>
      <c r="AZ37" s="47" t="n">
        <v>0.01</v>
      </c>
      <c r="BA37" s="47" t="n">
        <v>0.01</v>
      </c>
      <c r="BB37" s="47" t="n">
        <v>0.01</v>
      </c>
      <c r="BC37" s="47" t="n">
        <v>0.01</v>
      </c>
      <c r="BD37" s="47" t="n">
        <v>0.01</v>
      </c>
      <c r="BE37" s="47" t="n">
        <v>0.01</v>
      </c>
      <c r="BF37" s="47" t="n">
        <v>0.01</v>
      </c>
      <c r="BG37" s="47" t="n">
        <v>0.01</v>
      </c>
      <c r="BH37" s="46" t="n">
        <v>0.01</v>
      </c>
      <c r="BI37" s="46" t="n">
        <v>0.01</v>
      </c>
      <c r="BJ37" s="46" t="n">
        <v>0.01</v>
      </c>
      <c r="BK37" s="46" t="n">
        <v>0.01</v>
      </c>
      <c r="BL37" s="46" t="n">
        <v>0.01</v>
      </c>
      <c r="BM37" s="46" t="n">
        <v>0.01</v>
      </c>
      <c r="BN37" s="46" t="n">
        <v>0.01</v>
      </c>
      <c r="BO37" s="46" t="n">
        <v>0.01</v>
      </c>
      <c r="BP37" s="46" t="n">
        <v>0.01</v>
      </c>
      <c r="BQ37" s="46" t="n">
        <v>0.01</v>
      </c>
      <c r="BR37" s="31" t="inlineStr">
        <is>
          <t>季收益率。Q2'26利息净收入$4.73m，因4月$632.5m增发后资金尚未满季。预测按现金+其他非流动资产中的投资余额×1.0%/季（约4%年化）。</t>
        </is>
      </c>
    </row>
    <row r="38">
      <c r="A38" s="4" t="inlineStr">
        <is>
          <t>P&amp;L</t>
        </is>
      </c>
      <c r="B38" s="7" t="inlineStr">
        <is>
          <t>Cost of debt (quarterly)</t>
        </is>
      </c>
      <c r="C38" s="4" t="inlineStr">
        <is>
          <t>%</t>
        </is>
      </c>
      <c r="D38" s="47" t="n">
        <v>0.012</v>
      </c>
      <c r="E38" s="47" t="n">
        <v>0.012</v>
      </c>
      <c r="F38" s="47" t="n">
        <v>0.012</v>
      </c>
      <c r="G38" s="47" t="n">
        <v>0.012</v>
      </c>
      <c r="H38" s="47" t="n">
        <v>0.012</v>
      </c>
      <c r="I38" s="47" t="n">
        <v>0.012</v>
      </c>
      <c r="J38" s="47" t="n">
        <v>0.012</v>
      </c>
      <c r="K38" s="47" t="n">
        <v>0.012</v>
      </c>
      <c r="L38" s="47" t="n">
        <v>0.012</v>
      </c>
      <c r="M38" s="47" t="n">
        <v>0.012</v>
      </c>
      <c r="N38" s="48" t="n">
        <v>0.012</v>
      </c>
      <c r="O38" s="46" t="n">
        <v>0.012</v>
      </c>
      <c r="P38" s="46" t="n">
        <v>0.012</v>
      </c>
      <c r="R38" s="47" t="n">
        <v>0.012</v>
      </c>
      <c r="S38" s="47" t="n">
        <v>0.012</v>
      </c>
      <c r="T38" s="47" t="n">
        <v>0.012</v>
      </c>
      <c r="U38" s="47" t="n">
        <v>0.012</v>
      </c>
      <c r="V38" s="47" t="n">
        <v>0.012</v>
      </c>
      <c r="W38" s="47" t="n">
        <v>0.012</v>
      </c>
      <c r="X38" s="47" t="n">
        <v>0.012</v>
      </c>
      <c r="Y38" s="47" t="n">
        <v>0.012</v>
      </c>
      <c r="Z38" s="47" t="n">
        <v>0.012</v>
      </c>
      <c r="AA38" s="47" t="n">
        <v>0.012</v>
      </c>
      <c r="AB38" s="47" t="n">
        <v>0.012</v>
      </c>
      <c r="AC38" s="47" t="n">
        <v>0.012</v>
      </c>
      <c r="AD38" s="47" t="n">
        <v>0.012</v>
      </c>
      <c r="AE38" s="47" t="n">
        <v>0.012</v>
      </c>
      <c r="AF38" s="47" t="n">
        <v>0.012</v>
      </c>
      <c r="AG38" s="47" t="n">
        <v>0.012</v>
      </c>
      <c r="AH38" s="47" t="n">
        <v>0.012</v>
      </c>
      <c r="AI38" s="47" t="n">
        <v>0.012</v>
      </c>
      <c r="AJ38" s="47" t="n">
        <v>0.012</v>
      </c>
      <c r="AK38" s="47" t="n">
        <v>0.012</v>
      </c>
      <c r="AL38" s="47" t="n">
        <v>0.012</v>
      </c>
      <c r="AM38" s="47" t="n">
        <v>0.012</v>
      </c>
      <c r="AN38" s="47" t="n">
        <v>0.012</v>
      </c>
      <c r="AO38" s="47" t="n">
        <v>0.012</v>
      </c>
      <c r="AP38" s="47" t="n">
        <v>0.012</v>
      </c>
      <c r="AQ38" s="47" t="n">
        <v>0.012</v>
      </c>
      <c r="AR38" s="47" t="n">
        <v>0.012</v>
      </c>
      <c r="AS38" s="47" t="n">
        <v>0.012</v>
      </c>
      <c r="AT38" s="47" t="n">
        <v>0.012</v>
      </c>
      <c r="AU38" s="47" t="n">
        <v>0.012</v>
      </c>
      <c r="AV38" s="47" t="n">
        <v>0.012</v>
      </c>
      <c r="AW38" s="47" t="n">
        <v>0.012</v>
      </c>
      <c r="AX38" s="47" t="n">
        <v>0.012</v>
      </c>
      <c r="AY38" s="47" t="n">
        <v>0.012</v>
      </c>
      <c r="AZ38" s="47" t="n">
        <v>0.012</v>
      </c>
      <c r="BA38" s="47" t="n">
        <v>0.012</v>
      </c>
      <c r="BB38" s="47" t="n">
        <v>0.012</v>
      </c>
      <c r="BC38" s="47" t="n">
        <v>0.012</v>
      </c>
      <c r="BD38" s="47" t="n">
        <v>0.012</v>
      </c>
      <c r="BE38" s="47" t="n">
        <v>0.012</v>
      </c>
      <c r="BF38" s="47" t="n">
        <v>0.012</v>
      </c>
      <c r="BG38" s="47" t="n">
        <v>0.012</v>
      </c>
      <c r="BH38" s="46" t="n">
        <v>0.012</v>
      </c>
      <c r="BI38" s="46" t="n">
        <v>0.012</v>
      </c>
      <c r="BJ38" s="46" t="n">
        <v>0.012</v>
      </c>
      <c r="BK38" s="46" t="n">
        <v>0.012</v>
      </c>
      <c r="BL38" s="46" t="n">
        <v>0.012</v>
      </c>
      <c r="BM38" s="46" t="n">
        <v>0.012</v>
      </c>
      <c r="BN38" s="46" t="n">
        <v>0.012</v>
      </c>
      <c r="BO38" s="46" t="n">
        <v>0.012</v>
      </c>
      <c r="BP38" s="46" t="n">
        <v>0.012</v>
      </c>
      <c r="BQ38" s="46" t="n">
        <v>0.012</v>
      </c>
      <c r="BR38" s="31" t="inlineStr">
        <is>
          <t>短期银行贷款/长期贷款成本，约4.8%年化（1.2%/季）。</t>
        </is>
      </c>
    </row>
    <row r="39">
      <c r="A39" s="4" t="inlineStr">
        <is>
          <t>P&amp;L</t>
        </is>
      </c>
      <c r="B39" s="7" t="inlineStr">
        <is>
          <t>Equity in unconsolidated JVs</t>
        </is>
      </c>
      <c r="C39" s="4" t="inlineStr">
        <is>
          <t>$000</t>
        </is>
      </c>
      <c r="D39" s="43">
        <f>D60</f>
        <v/>
      </c>
      <c r="E39" s="43">
        <f>E60</f>
        <v/>
      </c>
      <c r="F39" s="43">
        <f>F60</f>
        <v/>
      </c>
      <c r="G39" s="43">
        <f>G60</f>
        <v/>
      </c>
      <c r="H39" s="43">
        <f>H60</f>
        <v/>
      </c>
      <c r="I39" s="43">
        <f>I60</f>
        <v/>
      </c>
      <c r="J39" s="43">
        <f>J60</f>
        <v/>
      </c>
      <c r="K39" s="43">
        <f>K60</f>
        <v/>
      </c>
      <c r="L39" s="43">
        <f>L60</f>
        <v/>
      </c>
      <c r="M39" s="43">
        <f>M60</f>
        <v/>
      </c>
      <c r="N39" s="37">
        <f>N60</f>
        <v/>
      </c>
      <c r="O39" s="38">
        <f>O60</f>
        <v/>
      </c>
      <c r="P39" s="38">
        <f>P60</f>
        <v/>
      </c>
      <c r="R39" s="43">
        <f>R60</f>
        <v/>
      </c>
      <c r="S39" s="43">
        <f>S60</f>
        <v/>
      </c>
      <c r="T39" s="43">
        <f>T60</f>
        <v/>
      </c>
      <c r="U39" s="43">
        <f>U60</f>
        <v/>
      </c>
      <c r="V39" s="43">
        <f>V60</f>
        <v/>
      </c>
      <c r="W39" s="43">
        <f>W60</f>
        <v/>
      </c>
      <c r="X39" s="43">
        <f>X60</f>
        <v/>
      </c>
      <c r="Y39" s="43">
        <f>Y60</f>
        <v/>
      </c>
      <c r="Z39" s="43">
        <f>Z60</f>
        <v/>
      </c>
      <c r="AA39" s="43">
        <f>AA60</f>
        <v/>
      </c>
      <c r="AB39" s="43">
        <f>AB60</f>
        <v/>
      </c>
      <c r="AC39" s="43">
        <f>AC60</f>
        <v/>
      </c>
      <c r="AD39" s="43">
        <f>AD60</f>
        <v/>
      </c>
      <c r="AE39" s="43">
        <f>AE60</f>
        <v/>
      </c>
      <c r="AF39" s="43">
        <f>AF60</f>
        <v/>
      </c>
      <c r="AG39" s="43">
        <f>AG60</f>
        <v/>
      </c>
      <c r="AH39" s="43">
        <f>AH60</f>
        <v/>
      </c>
      <c r="AI39" s="43">
        <f>AI60</f>
        <v/>
      </c>
      <c r="AJ39" s="43">
        <f>AJ60</f>
        <v/>
      </c>
      <c r="AK39" s="43">
        <f>AK60</f>
        <v/>
      </c>
      <c r="AL39" s="43">
        <f>AL60</f>
        <v/>
      </c>
      <c r="AM39" s="43">
        <f>AM60</f>
        <v/>
      </c>
      <c r="AN39" s="43">
        <f>AN60</f>
        <v/>
      </c>
      <c r="AO39" s="43">
        <f>AO60</f>
        <v/>
      </c>
      <c r="AP39" s="43">
        <f>AP60</f>
        <v/>
      </c>
      <c r="AQ39" s="43">
        <f>AQ60</f>
        <v/>
      </c>
      <c r="AR39" s="43">
        <f>AR60</f>
        <v/>
      </c>
      <c r="AS39" s="43">
        <f>AS60</f>
        <v/>
      </c>
      <c r="AT39" s="43">
        <f>AT60</f>
        <v/>
      </c>
      <c r="AU39" s="43">
        <f>AU60</f>
        <v/>
      </c>
      <c r="AV39" s="43">
        <f>AV60</f>
        <v/>
      </c>
      <c r="AW39" s="43">
        <f>AW60</f>
        <v/>
      </c>
      <c r="AX39" s="43">
        <f>AX60</f>
        <v/>
      </c>
      <c r="AY39" s="43">
        <f>AY60</f>
        <v/>
      </c>
      <c r="AZ39" s="43">
        <f>AZ60</f>
        <v/>
      </c>
      <c r="BA39" s="43">
        <f>BA60</f>
        <v/>
      </c>
      <c r="BB39" s="43">
        <f>BB60</f>
        <v/>
      </c>
      <c r="BC39" s="43">
        <f>BC60</f>
        <v/>
      </c>
      <c r="BD39" s="43">
        <f>BD60</f>
        <v/>
      </c>
      <c r="BE39" s="43">
        <f>BE60</f>
        <v/>
      </c>
      <c r="BF39" s="43">
        <f>BF60</f>
        <v/>
      </c>
      <c r="BG39" s="43">
        <f>BG60</f>
        <v/>
      </c>
      <c r="BH39" s="44" t="n">
        <v>400</v>
      </c>
      <c r="BI39" s="44" t="n">
        <v>420</v>
      </c>
      <c r="BJ39" s="44" t="n">
        <v>450</v>
      </c>
      <c r="BK39" s="44" t="n">
        <v>480</v>
      </c>
      <c r="BL39" s="44" t="n">
        <v>500</v>
      </c>
      <c r="BM39" s="44" t="n">
        <v>520</v>
      </c>
      <c r="BN39" s="44" t="n">
        <v>550</v>
      </c>
      <c r="BO39" s="44" t="n">
        <v>580</v>
      </c>
      <c r="BP39" s="44" t="n">
        <v>600</v>
      </c>
      <c r="BQ39" s="44" t="n">
        <v>620</v>
      </c>
      <c r="BR39" s="31" t="inlineStr">
        <is>
          <t>未并表JV权益法收益。历史硬编码；预测$0.4–0.62m/季。</t>
        </is>
      </c>
    </row>
    <row r="40">
      <c r="A40" s="4" t="inlineStr">
        <is>
          <t>P&amp;L</t>
        </is>
      </c>
      <c r="B40" s="7" t="inlineStr">
        <is>
          <t>Other income / (expense)</t>
        </is>
      </c>
      <c r="C40" s="4" t="inlineStr">
        <is>
          <t>$000</t>
        </is>
      </c>
      <c r="D40" s="43">
        <f>D61</f>
        <v/>
      </c>
      <c r="E40" s="43">
        <f>E61</f>
        <v/>
      </c>
      <c r="F40" s="43">
        <f>F61</f>
        <v/>
      </c>
      <c r="G40" s="43">
        <f>G61</f>
        <v/>
      </c>
      <c r="H40" s="43">
        <f>H61</f>
        <v/>
      </c>
      <c r="I40" s="43">
        <f>I61</f>
        <v/>
      </c>
      <c r="J40" s="43">
        <f>J61</f>
        <v/>
      </c>
      <c r="K40" s="43">
        <f>K61</f>
        <v/>
      </c>
      <c r="L40" s="43">
        <f>L61</f>
        <v/>
      </c>
      <c r="M40" s="43">
        <f>M61</f>
        <v/>
      </c>
      <c r="N40" s="37">
        <f>N61</f>
        <v/>
      </c>
      <c r="O40" s="38">
        <f>O61</f>
        <v/>
      </c>
      <c r="P40" s="38">
        <f>P61</f>
        <v/>
      </c>
      <c r="R40" s="43">
        <f>R61</f>
        <v/>
      </c>
      <c r="S40" s="43">
        <f>S61</f>
        <v/>
      </c>
      <c r="T40" s="43">
        <f>T61</f>
        <v/>
      </c>
      <c r="U40" s="43">
        <f>U61</f>
        <v/>
      </c>
      <c r="V40" s="43">
        <f>V61</f>
        <v/>
      </c>
      <c r="W40" s="43">
        <f>W61</f>
        <v/>
      </c>
      <c r="X40" s="43">
        <f>X61</f>
        <v/>
      </c>
      <c r="Y40" s="43">
        <f>Y61</f>
        <v/>
      </c>
      <c r="Z40" s="43">
        <f>Z61</f>
        <v/>
      </c>
      <c r="AA40" s="43">
        <f>AA61</f>
        <v/>
      </c>
      <c r="AB40" s="43">
        <f>AB61</f>
        <v/>
      </c>
      <c r="AC40" s="43">
        <f>AC61</f>
        <v/>
      </c>
      <c r="AD40" s="43">
        <f>AD61</f>
        <v/>
      </c>
      <c r="AE40" s="43">
        <f>AE61</f>
        <v/>
      </c>
      <c r="AF40" s="43">
        <f>AF61</f>
        <v/>
      </c>
      <c r="AG40" s="43">
        <f>AG61</f>
        <v/>
      </c>
      <c r="AH40" s="43">
        <f>AH61</f>
        <v/>
      </c>
      <c r="AI40" s="43">
        <f>AI61</f>
        <v/>
      </c>
      <c r="AJ40" s="43">
        <f>AJ61</f>
        <v/>
      </c>
      <c r="AK40" s="43">
        <f>AK61</f>
        <v/>
      </c>
      <c r="AL40" s="43">
        <f>AL61</f>
        <v/>
      </c>
      <c r="AM40" s="43">
        <f>AM61</f>
        <v/>
      </c>
      <c r="AN40" s="43">
        <f>AN61</f>
        <v/>
      </c>
      <c r="AO40" s="43">
        <f>AO61</f>
        <v/>
      </c>
      <c r="AP40" s="43">
        <f>AP61</f>
        <v/>
      </c>
      <c r="AQ40" s="43">
        <f>AQ61</f>
        <v/>
      </c>
      <c r="AR40" s="43">
        <f>AR61</f>
        <v/>
      </c>
      <c r="AS40" s="43">
        <f>AS61</f>
        <v/>
      </c>
      <c r="AT40" s="43">
        <f>AT61</f>
        <v/>
      </c>
      <c r="AU40" s="43">
        <f>AU61</f>
        <v/>
      </c>
      <c r="AV40" s="43">
        <f>AV61</f>
        <v/>
      </c>
      <c r="AW40" s="43">
        <f>AW61</f>
        <v/>
      </c>
      <c r="AX40" s="43">
        <f>AX61</f>
        <v/>
      </c>
      <c r="AY40" s="43">
        <f>AY61</f>
        <v/>
      </c>
      <c r="AZ40" s="43">
        <f>AZ61</f>
        <v/>
      </c>
      <c r="BA40" s="43">
        <f>BA61</f>
        <v/>
      </c>
      <c r="BB40" s="43">
        <f>BB61</f>
        <v/>
      </c>
      <c r="BC40" s="43">
        <f>BC61</f>
        <v/>
      </c>
      <c r="BD40" s="43">
        <f>BD61</f>
        <v/>
      </c>
      <c r="BE40" s="43">
        <f>BE61</f>
        <v/>
      </c>
      <c r="BF40" s="43">
        <f>BF61</f>
        <v/>
      </c>
      <c r="BG40" s="43">
        <f>BG61</f>
        <v/>
      </c>
      <c r="BH40" s="44" t="n">
        <v>0</v>
      </c>
      <c r="BI40" s="44" t="n">
        <v>0</v>
      </c>
      <c r="BJ40" s="44" t="n">
        <v>0</v>
      </c>
      <c r="BK40" s="44" t="n">
        <v>0</v>
      </c>
      <c r="BL40" s="44" t="n">
        <v>0</v>
      </c>
      <c r="BM40" s="44" t="n">
        <v>0</v>
      </c>
      <c r="BN40" s="44" t="n">
        <v>0</v>
      </c>
      <c r="BO40" s="44" t="n">
        <v>0</v>
      </c>
      <c r="BP40" s="44" t="n">
        <v>0</v>
      </c>
      <c r="BQ40" s="44" t="n">
        <v>0</v>
      </c>
      <c r="BR40" s="31" t="inlineStr">
        <is>
          <t>汇兑及其他。预测保守取0。</t>
        </is>
      </c>
    </row>
    <row r="41">
      <c r="A41" s="4" t="inlineStr">
        <is>
          <t>BS</t>
        </is>
      </c>
      <c r="B41" s="7" t="inlineStr">
        <is>
          <t>DSO (AR days)</t>
        </is>
      </c>
      <c r="C41" s="4" t="inlineStr">
        <is>
          <t>days</t>
        </is>
      </c>
      <c r="D41" s="49" t="n">
        <v>64.8</v>
      </c>
      <c r="E41" s="49" t="n">
        <v>84.3</v>
      </c>
      <c r="F41" s="49" t="n">
        <v>69.8</v>
      </c>
      <c r="G41" s="49" t="n">
        <v>83.40000000000001</v>
      </c>
      <c r="H41" s="49" t="n">
        <v>94</v>
      </c>
      <c r="I41" s="49" t="n">
        <v>92.59999999999999</v>
      </c>
      <c r="J41" s="49" t="n">
        <v>75.7</v>
      </c>
      <c r="K41" s="49" t="n">
        <v>92.7</v>
      </c>
      <c r="L41" s="49" t="n">
        <v>94.2</v>
      </c>
      <c r="M41" s="49" t="n">
        <v>111</v>
      </c>
      <c r="N41" s="28">
        <f>BI41</f>
        <v/>
      </c>
      <c r="O41" s="29">
        <f>BM41</f>
        <v/>
      </c>
      <c r="P41" s="29">
        <f>BQ41</f>
        <v/>
      </c>
      <c r="R41" s="49" t="n">
        <v>95.90000000000001</v>
      </c>
      <c r="S41" s="49" t="n">
        <v>80.09999999999999</v>
      </c>
      <c r="T41" s="49" t="n">
        <v>76.5</v>
      </c>
      <c r="U41" s="49" t="n">
        <v>65.59999999999999</v>
      </c>
      <c r="V41" s="49" t="n">
        <v>77.90000000000001</v>
      </c>
      <c r="W41" s="49" t="n">
        <v>70.5</v>
      </c>
      <c r="X41" s="49" t="n">
        <v>67.40000000000001</v>
      </c>
      <c r="Y41" s="49" t="n">
        <v>79.59999999999999</v>
      </c>
      <c r="Z41" s="49" t="n">
        <v>79.59999999999999</v>
      </c>
      <c r="AA41" s="49" t="n">
        <v>75.59999999999999</v>
      </c>
      <c r="AB41" s="49" t="n">
        <v>74.09999999999999</v>
      </c>
      <c r="AC41" s="49" t="n">
        <v>81.09999999999999</v>
      </c>
      <c r="AD41" s="49" t="n">
        <v>88.3</v>
      </c>
      <c r="AE41" s="49" t="n">
        <v>67.09999999999999</v>
      </c>
      <c r="AF41" s="49" t="n">
        <v>80</v>
      </c>
      <c r="AG41" s="49" t="n">
        <v>95.09999999999999</v>
      </c>
      <c r="AH41" s="49" t="n">
        <v>103.7</v>
      </c>
      <c r="AI41" s="49" t="n">
        <v>81.2</v>
      </c>
      <c r="AJ41" s="49" t="n">
        <v>80.90000000000001</v>
      </c>
      <c r="AK41" s="49" t="n">
        <v>83.59999999999999</v>
      </c>
      <c r="AL41" s="49" t="n">
        <v>82.5</v>
      </c>
      <c r="AM41" s="49" t="n">
        <v>90.3</v>
      </c>
      <c r="AN41" s="49" t="n">
        <v>96.3</v>
      </c>
      <c r="AO41" s="49" t="n">
        <v>84.90000000000001</v>
      </c>
      <c r="AP41" s="49" t="n">
        <v>91.40000000000001</v>
      </c>
      <c r="AQ41" s="49" t="n">
        <v>89.3</v>
      </c>
      <c r="AR41" s="49" t="n">
        <v>98.59999999999999</v>
      </c>
      <c r="AS41" s="49" t="n">
        <v>100.4</v>
      </c>
      <c r="AT41" s="49" t="n">
        <v>100.1</v>
      </c>
      <c r="AU41" s="49" t="n">
        <v>97.2</v>
      </c>
      <c r="AV41" s="49" t="n">
        <v>98.90000000000001</v>
      </c>
      <c r="AW41" s="49" t="n">
        <v>86.7</v>
      </c>
      <c r="AX41" s="49" t="n">
        <v>100.5</v>
      </c>
      <c r="AY41" s="49" t="n">
        <v>88.5</v>
      </c>
      <c r="AZ41" s="49" t="n">
        <v>107.6</v>
      </c>
      <c r="BA41" s="49" t="n">
        <v>94</v>
      </c>
      <c r="BB41" s="49" t="n">
        <v>107.5</v>
      </c>
      <c r="BC41" s="49" t="n">
        <v>115.4</v>
      </c>
      <c r="BD41" s="49" t="n">
        <v>110.1</v>
      </c>
      <c r="BE41" s="49" t="n">
        <v>107.2</v>
      </c>
      <c r="BF41" s="49" t="n">
        <v>108.2</v>
      </c>
      <c r="BG41" s="49" t="n">
        <v>70.09999999999999</v>
      </c>
      <c r="BH41" s="30" t="n">
        <v>85</v>
      </c>
      <c r="BI41" s="30" t="n">
        <v>82</v>
      </c>
      <c r="BJ41" s="30" t="n">
        <v>80</v>
      </c>
      <c r="BK41" s="30" t="n">
        <v>78</v>
      </c>
      <c r="BL41" s="30" t="n">
        <v>75</v>
      </c>
      <c r="BM41" s="30" t="n">
        <v>72</v>
      </c>
      <c r="BN41" s="30" t="n">
        <v>70</v>
      </c>
      <c r="BO41" s="30" t="n">
        <v>68</v>
      </c>
      <c r="BP41" s="30" t="n">
        <v>65</v>
      </c>
      <c r="BQ41" s="30" t="n">
        <v>62</v>
      </c>
      <c r="BR41" s="31" t="inlineStr">
        <is>
          <t>应收账款天数=AR/季收入*当期天数。历史常&gt;90天（中国账期）。预测随海外AI客户提升而下降至~62天。</t>
        </is>
      </c>
    </row>
    <row r="42">
      <c r="A42" s="4" t="inlineStr">
        <is>
          <t>BS</t>
        </is>
      </c>
      <c r="B42" s="7" t="inlineStr">
        <is>
          <t>DIO (Inventory days)</t>
        </is>
      </c>
      <c r="C42" s="4" t="inlineStr">
        <is>
          <t>days</t>
        </is>
      </c>
      <c r="D42" s="49" t="n">
        <v>266.6</v>
      </c>
      <c r="E42" s="49" t="n">
        <v>260.6</v>
      </c>
      <c r="F42" s="49" t="n">
        <v>327.1</v>
      </c>
      <c r="G42" s="49" t="n">
        <v>307</v>
      </c>
      <c r="H42" s="49" t="n">
        <v>288.9</v>
      </c>
      <c r="I42" s="49" t="n">
        <v>267.4</v>
      </c>
      <c r="J42" s="49" t="n">
        <v>367.6</v>
      </c>
      <c r="K42" s="49" t="n">
        <v>505.4</v>
      </c>
      <c r="L42" s="49" t="n">
        <v>411.2</v>
      </c>
      <c r="M42" s="49" t="n">
        <v>386.6</v>
      </c>
      <c r="N42" s="28">
        <f>BI42</f>
        <v/>
      </c>
      <c r="O42" s="29">
        <f>BM42</f>
        <v/>
      </c>
      <c r="P42" s="29">
        <f>BQ42</f>
        <v/>
      </c>
      <c r="R42" s="49" t="n">
        <v>262.5</v>
      </c>
      <c r="S42" s="49" t="n">
        <v>242.9</v>
      </c>
      <c r="T42" s="49" t="n">
        <v>246.6</v>
      </c>
      <c r="U42" s="49" t="n">
        <v>289.8</v>
      </c>
      <c r="V42" s="49" t="n">
        <v>248.9</v>
      </c>
      <c r="W42" s="49" t="n">
        <v>226.8</v>
      </c>
      <c r="X42" s="49" t="n">
        <v>217.8</v>
      </c>
      <c r="Y42" s="49" t="n">
        <v>255.1</v>
      </c>
      <c r="Z42" s="49" t="n">
        <v>313.4</v>
      </c>
      <c r="AA42" s="49" t="n">
        <v>322.2</v>
      </c>
      <c r="AB42" s="49" t="n">
        <v>296.6</v>
      </c>
      <c r="AC42" s="49" t="n">
        <v>328.9</v>
      </c>
      <c r="AD42" s="49" t="n">
        <v>357.1</v>
      </c>
      <c r="AE42" s="49" t="n">
        <v>281.1</v>
      </c>
      <c r="AF42" s="49" t="n">
        <v>317.1</v>
      </c>
      <c r="AG42" s="49" t="n">
        <v>310.9</v>
      </c>
      <c r="AH42" s="49" t="n">
        <v>288.9</v>
      </c>
      <c r="AI42" s="49" t="n">
        <v>293.7</v>
      </c>
      <c r="AJ42" s="49" t="n">
        <v>264.4</v>
      </c>
      <c r="AK42" s="49" t="n">
        <v>265.2</v>
      </c>
      <c r="AL42" s="49" t="n">
        <v>251.1</v>
      </c>
      <c r="AM42" s="49" t="n">
        <v>249.4</v>
      </c>
      <c r="AN42" s="49" t="n">
        <v>239.3</v>
      </c>
      <c r="AO42" s="49" t="n">
        <v>236.9</v>
      </c>
      <c r="AP42" s="49" t="n">
        <v>237.7</v>
      </c>
      <c r="AQ42" s="49" t="n">
        <v>292.4</v>
      </c>
      <c r="AR42" s="49" t="n">
        <v>394.7</v>
      </c>
      <c r="AS42" s="49" t="n">
        <v>453.1</v>
      </c>
      <c r="AT42" s="49" t="n">
        <v>583.6</v>
      </c>
      <c r="AU42" s="49" t="n">
        <v>469.4</v>
      </c>
      <c r="AV42" s="49" t="n">
        <v>507.2</v>
      </c>
      <c r="AW42" s="49" t="n">
        <v>503.6</v>
      </c>
      <c r="AX42" s="49" t="n">
        <v>471.3</v>
      </c>
      <c r="AY42" s="49" t="n">
        <v>385.1</v>
      </c>
      <c r="AZ42" s="49" t="n">
        <v>436.2</v>
      </c>
      <c r="BA42" s="49" t="n">
        <v>378.2</v>
      </c>
      <c r="BB42" s="49" t="n">
        <v>355.3</v>
      </c>
      <c r="BC42" s="49" t="n">
        <v>440.5</v>
      </c>
      <c r="BD42" s="49" t="n">
        <v>325.2</v>
      </c>
      <c r="BE42" s="49" t="n">
        <v>412.4</v>
      </c>
      <c r="BF42" s="49" t="n">
        <v>433.1</v>
      </c>
      <c r="BG42" s="49" t="n">
        <v>334.3</v>
      </c>
      <c r="BH42" s="30" t="n">
        <v>200</v>
      </c>
      <c r="BI42" s="30" t="n">
        <v>190</v>
      </c>
      <c r="BJ42" s="30" t="n">
        <v>180</v>
      </c>
      <c r="BK42" s="30" t="n">
        <v>170</v>
      </c>
      <c r="BL42" s="30" t="n">
        <v>165</v>
      </c>
      <c r="BM42" s="30" t="n">
        <v>160</v>
      </c>
      <c r="BN42" s="30" t="n">
        <v>155</v>
      </c>
      <c r="BO42" s="30" t="n">
        <v>150</v>
      </c>
      <c r="BP42" s="30" t="n">
        <v>145</v>
      </c>
      <c r="BQ42" s="30" t="n">
        <v>140</v>
      </c>
      <c r="BR42" s="31" t="inlineStr">
        <is>
          <t>存货天数=Inv/COGS*天数。历史极高（~300–400天，衬底长周期+出口积压）。预测随出货畅通降至~140天。</t>
        </is>
      </c>
    </row>
    <row r="43">
      <c r="A43" s="4" t="inlineStr">
        <is>
          <t>BS</t>
        </is>
      </c>
      <c r="B43" s="7" t="inlineStr">
        <is>
          <t>DPO (AP days)</t>
        </is>
      </c>
      <c r="C43" s="4" t="inlineStr">
        <is>
          <t>days</t>
        </is>
      </c>
      <c r="D43" s="49" t="n">
        <v>44.4</v>
      </c>
      <c r="E43" s="49" t="n">
        <v>65.09999999999999</v>
      </c>
      <c r="F43" s="49" t="n">
        <v>74.5</v>
      </c>
      <c r="G43" s="49" t="n">
        <v>63.1</v>
      </c>
      <c r="H43" s="49" t="n">
        <v>71</v>
      </c>
      <c r="I43" s="49" t="n">
        <v>67.5</v>
      </c>
      <c r="J43" s="49" t="n">
        <v>41.4</v>
      </c>
      <c r="K43" s="49" t="n">
        <v>56.2</v>
      </c>
      <c r="L43" s="49" t="n">
        <v>59.7</v>
      </c>
      <c r="M43" s="49" t="n">
        <v>61.3</v>
      </c>
      <c r="N43" s="28">
        <f>BI43</f>
        <v/>
      </c>
      <c r="O43" s="29">
        <f>BM43</f>
        <v/>
      </c>
      <c r="P43" s="29">
        <f>BQ43</f>
        <v/>
      </c>
      <c r="R43" s="49" t="n">
        <v>54.3</v>
      </c>
      <c r="S43" s="49" t="n">
        <v>49.4</v>
      </c>
      <c r="T43" s="49" t="n">
        <v>46.3</v>
      </c>
      <c r="U43" s="49" t="n">
        <v>48.3</v>
      </c>
      <c r="V43" s="49" t="n">
        <v>51.8</v>
      </c>
      <c r="W43" s="49" t="n">
        <v>45.7</v>
      </c>
      <c r="X43" s="49" t="n">
        <v>50.7</v>
      </c>
      <c r="Y43" s="49" t="n">
        <v>63.7</v>
      </c>
      <c r="Z43" s="49" t="n">
        <v>73.90000000000001</v>
      </c>
      <c r="AA43" s="49" t="n">
        <v>79.40000000000001</v>
      </c>
      <c r="AB43" s="49" t="n">
        <v>62.4</v>
      </c>
      <c r="AC43" s="49" t="n">
        <v>74.90000000000001</v>
      </c>
      <c r="AD43" s="49" t="n">
        <v>53.1</v>
      </c>
      <c r="AE43" s="49" t="n">
        <v>33.5</v>
      </c>
      <c r="AF43" s="49" t="n">
        <v>52.6</v>
      </c>
      <c r="AG43" s="49" t="n">
        <v>63.9</v>
      </c>
      <c r="AH43" s="49" t="n">
        <v>57</v>
      </c>
      <c r="AI43" s="49" t="n">
        <v>68.3</v>
      </c>
      <c r="AJ43" s="49" t="n">
        <v>67.09999999999999</v>
      </c>
      <c r="AK43" s="49" t="n">
        <v>65.2</v>
      </c>
      <c r="AL43" s="49" t="n">
        <v>61.5</v>
      </c>
      <c r="AM43" s="49" t="n">
        <v>68.3</v>
      </c>
      <c r="AN43" s="49" t="n">
        <v>44.9</v>
      </c>
      <c r="AO43" s="49" t="n">
        <v>59.8</v>
      </c>
      <c r="AP43" s="49" t="n">
        <v>49.7</v>
      </c>
      <c r="AQ43" s="49" t="n">
        <v>88.2</v>
      </c>
      <c r="AR43" s="49" t="n">
        <v>59.6</v>
      </c>
      <c r="AS43" s="49" t="n">
        <v>51</v>
      </c>
      <c r="AT43" s="49" t="n">
        <v>43.1</v>
      </c>
      <c r="AU43" s="49" t="n">
        <v>25.3</v>
      </c>
      <c r="AV43" s="49" t="n">
        <v>37.4</v>
      </c>
      <c r="AW43" s="49" t="n">
        <v>56</v>
      </c>
      <c r="AX43" s="49" t="n">
        <v>56.3</v>
      </c>
      <c r="AY43" s="49" t="n">
        <v>52.3</v>
      </c>
      <c r="AZ43" s="49" t="n">
        <v>64.7</v>
      </c>
      <c r="BA43" s="49" t="n">
        <v>54.9</v>
      </c>
      <c r="BB43" s="49" t="n">
        <v>49.1</v>
      </c>
      <c r="BC43" s="49" t="n">
        <v>61.8</v>
      </c>
      <c r="BD43" s="49" t="n">
        <v>45.4</v>
      </c>
      <c r="BE43" s="49" t="n">
        <v>65.40000000000001</v>
      </c>
      <c r="BF43" s="49" t="n">
        <v>77.5</v>
      </c>
      <c r="BG43" s="49" t="n">
        <v>49.9</v>
      </c>
      <c r="BH43" s="30" t="n">
        <v>50</v>
      </c>
      <c r="BI43" s="30" t="n">
        <v>50</v>
      </c>
      <c r="BJ43" s="30" t="n">
        <v>52</v>
      </c>
      <c r="BK43" s="30" t="n">
        <v>52</v>
      </c>
      <c r="BL43" s="30" t="n">
        <v>52</v>
      </c>
      <c r="BM43" s="30" t="n">
        <v>52</v>
      </c>
      <c r="BN43" s="30" t="n">
        <v>52</v>
      </c>
      <c r="BO43" s="30" t="n">
        <v>52</v>
      </c>
      <c r="BP43" s="30" t="n">
        <v>52</v>
      </c>
      <c r="BQ43" s="30" t="n">
        <v>52</v>
      </c>
      <c r="BR43" s="31" t="inlineStr">
        <is>
          <t>应付天数=AP/COGS*天数。预测维持~50–52天。</t>
        </is>
      </c>
    </row>
    <row r="44">
      <c r="A44" s="4" t="inlineStr">
        <is>
          <t>CF</t>
        </is>
      </c>
      <c r="B44" s="7" t="inlineStr">
        <is>
          <t>Capex</t>
        </is>
      </c>
      <c r="C44" s="4" t="inlineStr">
        <is>
          <t>$000</t>
        </is>
      </c>
      <c r="D44" s="36" t="n">
        <v>2728</v>
      </c>
      <c r="E44" s="36" t="n">
        <v>21356</v>
      </c>
      <c r="F44" s="36" t="n">
        <v>40539</v>
      </c>
      <c r="G44" s="36" t="n">
        <v>21792</v>
      </c>
      <c r="H44" s="36" t="n">
        <v>19855</v>
      </c>
      <c r="I44" s="36" t="n">
        <v>29645</v>
      </c>
      <c r="J44" s="36" t="n">
        <v>28465</v>
      </c>
      <c r="K44" s="36" t="n">
        <v>10475</v>
      </c>
      <c r="L44" s="36" t="n">
        <v>5771</v>
      </c>
      <c r="M44" s="36" t="n">
        <v>5995</v>
      </c>
      <c r="N44" s="37">
        <f>BF44+BG44+BH44+BI44</f>
        <v/>
      </c>
      <c r="O44" s="38">
        <f>BJ44+BK44+BL44+BM44</f>
        <v/>
      </c>
      <c r="P44" s="38">
        <f>BN44+BO44+BP44+BQ44</f>
        <v/>
      </c>
      <c r="R44" s="36" t="n">
        <v>682</v>
      </c>
      <c r="S44" s="36" t="n">
        <v>682</v>
      </c>
      <c r="T44" s="36" t="n">
        <v>682</v>
      </c>
      <c r="U44" s="36" t="n">
        <v>682</v>
      </c>
      <c r="V44" s="36" t="n">
        <v>5339</v>
      </c>
      <c r="W44" s="36" t="n">
        <v>5339</v>
      </c>
      <c r="X44" s="36" t="n">
        <v>5339</v>
      </c>
      <c r="Y44" s="36" t="n">
        <v>5339</v>
      </c>
      <c r="Z44" s="36" t="n">
        <v>10135</v>
      </c>
      <c r="AA44" s="36" t="n">
        <v>10135</v>
      </c>
      <c r="AB44" s="36" t="n">
        <v>10135</v>
      </c>
      <c r="AC44" s="36" t="n">
        <v>10135</v>
      </c>
      <c r="AD44" s="36" t="n">
        <v>5448</v>
      </c>
      <c r="AE44" s="36" t="n">
        <v>5448</v>
      </c>
      <c r="AF44" s="36" t="n">
        <v>5448</v>
      </c>
      <c r="AG44" s="36" t="n">
        <v>5448</v>
      </c>
      <c r="AH44" s="36" t="n">
        <v>4964</v>
      </c>
      <c r="AI44" s="36" t="n">
        <v>4964</v>
      </c>
      <c r="AJ44" s="36" t="n">
        <v>4964</v>
      </c>
      <c r="AK44" s="36" t="n">
        <v>4964</v>
      </c>
      <c r="AL44" s="36" t="n">
        <v>7411</v>
      </c>
      <c r="AM44" s="36" t="n">
        <v>7411</v>
      </c>
      <c r="AN44" s="36" t="n">
        <v>7411</v>
      </c>
      <c r="AO44" s="36" t="n">
        <v>7411</v>
      </c>
      <c r="AP44" s="36" t="n">
        <v>7116</v>
      </c>
      <c r="AQ44" s="36" t="n">
        <v>7116</v>
      </c>
      <c r="AR44" s="36" t="n">
        <v>7116</v>
      </c>
      <c r="AS44" s="36" t="n">
        <v>7116</v>
      </c>
      <c r="AT44" s="36" t="n">
        <v>2619</v>
      </c>
      <c r="AU44" s="36" t="n">
        <v>2619</v>
      </c>
      <c r="AV44" s="36" t="n">
        <v>2619</v>
      </c>
      <c r="AW44" s="36" t="n">
        <v>2619</v>
      </c>
      <c r="AX44" s="36" t="n">
        <v>1443</v>
      </c>
      <c r="AY44" s="36" t="n">
        <v>1443</v>
      </c>
      <c r="AZ44" s="36" t="n">
        <v>1443</v>
      </c>
      <c r="BA44" s="36" t="n">
        <v>1443</v>
      </c>
      <c r="BB44" s="36" t="n">
        <v>1499</v>
      </c>
      <c r="BC44" s="36" t="n">
        <v>1499</v>
      </c>
      <c r="BD44" s="36" t="n">
        <v>1499</v>
      </c>
      <c r="BE44" s="36" t="n">
        <v>1499</v>
      </c>
      <c r="BF44" s="36" t="n">
        <v>8000</v>
      </c>
      <c r="BG44" s="36" t="n">
        <v>9664</v>
      </c>
      <c r="BH44" s="44" t="n">
        <v>12000</v>
      </c>
      <c r="BI44" s="44" t="n">
        <v>14000</v>
      </c>
      <c r="BJ44" s="44" t="n">
        <v>25000</v>
      </c>
      <c r="BK44" s="44" t="n">
        <v>25000</v>
      </c>
      <c r="BL44" s="44" t="n">
        <v>25000</v>
      </c>
      <c r="BM44" s="44" t="n">
        <v>25000</v>
      </c>
      <c r="BN44" s="44" t="n">
        <v>12500</v>
      </c>
      <c r="BO44" s="44" t="n">
        <v>12500</v>
      </c>
      <c r="BP44" s="44" t="n">
        <v>12500</v>
      </c>
      <c r="BQ44" s="44" t="n">
        <v>12500</v>
      </c>
      <c r="BR44" s="31" t="inlineStr">
        <is>
          <t>资本开支。管理层: 2026 InP产能翻倍CapEx $30–40m；2027新厂约$100m；2028继续扩张。H1'26 PPE已明显增加。</t>
        </is>
      </c>
    </row>
    <row r="45">
      <c r="A45" s="4" t="inlineStr">
        <is>
          <t>CF</t>
        </is>
      </c>
      <c r="B45" s="7" t="inlineStr">
        <is>
          <t>D&amp;A</t>
        </is>
      </c>
      <c r="C45" s="4" t="inlineStr">
        <is>
          <t>$000</t>
        </is>
      </c>
      <c r="D45" s="36" t="n">
        <v>4865</v>
      </c>
      <c r="E45" s="36" t="n">
        <v>4422</v>
      </c>
      <c r="F45" s="36" t="n">
        <v>4871</v>
      </c>
      <c r="G45" s="36" t="n">
        <v>5531</v>
      </c>
      <c r="H45" s="36" t="n">
        <v>4333</v>
      </c>
      <c r="I45" s="36" t="n">
        <v>7078</v>
      </c>
      <c r="J45" s="36" t="n">
        <v>8119</v>
      </c>
      <c r="K45" s="36" t="n">
        <v>8722</v>
      </c>
      <c r="L45" s="36" t="n">
        <v>8979</v>
      </c>
      <c r="M45" s="36" t="n">
        <v>9108</v>
      </c>
      <c r="N45" s="37">
        <f>BF45+BG45+BH45+BI45</f>
        <v/>
      </c>
      <c r="O45" s="38">
        <f>BJ45+BK45+BL45+BM45</f>
        <v/>
      </c>
      <c r="P45" s="38">
        <f>BN45+BO45+BP45+BQ45</f>
        <v/>
      </c>
      <c r="R45" s="36" t="n">
        <v>1216</v>
      </c>
      <c r="S45" s="36" t="n">
        <v>1216</v>
      </c>
      <c r="T45" s="36" t="n">
        <v>1216</v>
      </c>
      <c r="U45" s="36" t="n">
        <v>1216</v>
      </c>
      <c r="V45" s="36" t="n">
        <v>1106</v>
      </c>
      <c r="W45" s="36" t="n">
        <v>1106</v>
      </c>
      <c r="X45" s="36" t="n">
        <v>1106</v>
      </c>
      <c r="Y45" s="36" t="n">
        <v>1106</v>
      </c>
      <c r="Z45" s="36" t="n">
        <v>1218</v>
      </c>
      <c r="AA45" s="36" t="n">
        <v>1218</v>
      </c>
      <c r="AB45" s="36" t="n">
        <v>1218</v>
      </c>
      <c r="AC45" s="36" t="n">
        <v>1218</v>
      </c>
      <c r="AD45" s="36" t="n">
        <v>1383</v>
      </c>
      <c r="AE45" s="36" t="n">
        <v>1383</v>
      </c>
      <c r="AF45" s="36" t="n">
        <v>1383</v>
      </c>
      <c r="AG45" s="36" t="n">
        <v>1383</v>
      </c>
      <c r="AH45" s="36" t="n">
        <v>1083</v>
      </c>
      <c r="AI45" s="36" t="n">
        <v>1083</v>
      </c>
      <c r="AJ45" s="36" t="n">
        <v>1083</v>
      </c>
      <c r="AK45" s="36" t="n">
        <v>1083</v>
      </c>
      <c r="AL45" s="36" t="n">
        <v>1770</v>
      </c>
      <c r="AM45" s="36" t="n">
        <v>1770</v>
      </c>
      <c r="AN45" s="36" t="n">
        <v>1770</v>
      </c>
      <c r="AO45" s="36" t="n">
        <v>1770</v>
      </c>
      <c r="AP45" s="36" t="n">
        <v>2030</v>
      </c>
      <c r="AQ45" s="36" t="n">
        <v>2030</v>
      </c>
      <c r="AR45" s="36" t="n">
        <v>2030</v>
      </c>
      <c r="AS45" s="36" t="n">
        <v>2030</v>
      </c>
      <c r="AT45" s="36" t="n">
        <v>2180</v>
      </c>
      <c r="AU45" s="36" t="n">
        <v>2180</v>
      </c>
      <c r="AV45" s="36" t="n">
        <v>2180</v>
      </c>
      <c r="AW45" s="36" t="n">
        <v>2180</v>
      </c>
      <c r="AX45" s="36" t="n">
        <v>2245</v>
      </c>
      <c r="AY45" s="36" t="n">
        <v>2245</v>
      </c>
      <c r="AZ45" s="36" t="n">
        <v>2245</v>
      </c>
      <c r="BA45" s="36" t="n">
        <v>2245</v>
      </c>
      <c r="BB45" s="36" t="n">
        <v>2277</v>
      </c>
      <c r="BC45" s="36" t="n">
        <v>2277</v>
      </c>
      <c r="BD45" s="36" t="n">
        <v>2277</v>
      </c>
      <c r="BE45" s="36" t="n">
        <v>2277</v>
      </c>
      <c r="BF45" s="36" t="n">
        <v>2300</v>
      </c>
      <c r="BG45" s="36" t="n">
        <v>2300</v>
      </c>
      <c r="BH45" s="38">
        <f>BG78*0.0135</f>
        <v/>
      </c>
      <c r="BI45" s="38">
        <f>BH78*0.0135</f>
        <v/>
      </c>
      <c r="BJ45" s="38">
        <f>BI78*0.0135</f>
        <v/>
      </c>
      <c r="BK45" s="38">
        <f>BJ78*0.0135</f>
        <v/>
      </c>
      <c r="BL45" s="38">
        <f>BK78*0.0135</f>
        <v/>
      </c>
      <c r="BM45" s="38">
        <f>BL78*0.0135</f>
        <v/>
      </c>
      <c r="BN45" s="38">
        <f>BM78*0.013</f>
        <v/>
      </c>
      <c r="BO45" s="38">
        <f>BN78*0.013</f>
        <v/>
      </c>
      <c r="BP45" s="38">
        <f>BO78*0.013</f>
        <v/>
      </c>
      <c r="BQ45" s="38">
        <f>BP78*0.013</f>
        <v/>
      </c>
      <c r="BR45" s="31" t="inlineStr">
        <is>
          <t>折旧摊销。历史硬编码；预测=期初PPE×1.30–1.35%/季（约5.2–5.4%年化）。</t>
        </is>
      </c>
    </row>
    <row r="46">
      <c r="A46" s="4" t="inlineStr">
        <is>
          <t>CF</t>
        </is>
      </c>
      <c r="B46" s="7" t="inlineStr">
        <is>
          <t>Stock-based compensation</t>
        </is>
      </c>
      <c r="C46" s="4" t="inlineStr">
        <is>
          <t>$000</t>
        </is>
      </c>
      <c r="D46" s="36" t="n">
        <v>1096</v>
      </c>
      <c r="E46" s="36" t="n">
        <v>1405</v>
      </c>
      <c r="F46" s="36" t="n">
        <v>1925</v>
      </c>
      <c r="G46" s="36" t="n">
        <v>2346</v>
      </c>
      <c r="H46" s="36" t="n">
        <v>2623</v>
      </c>
      <c r="I46" s="36" t="n">
        <v>4519</v>
      </c>
      <c r="J46" s="36" t="n">
        <v>4006</v>
      </c>
      <c r="K46" s="36" t="n">
        <v>3540</v>
      </c>
      <c r="L46" s="36" t="n">
        <v>3097</v>
      </c>
      <c r="M46" s="36" t="n">
        <v>3292</v>
      </c>
      <c r="N46" s="37">
        <f>BF46+BG46+BH46+BI46</f>
        <v/>
      </c>
      <c r="O46" s="38">
        <f>BJ46+BK46+BL46+BM46</f>
        <v/>
      </c>
      <c r="P46" s="38">
        <f>BN46+BO46+BP46+BQ46</f>
        <v/>
      </c>
      <c r="R46" s="36" t="n">
        <v>274</v>
      </c>
      <c r="S46" s="36" t="n">
        <v>274</v>
      </c>
      <c r="T46" s="36" t="n">
        <v>274</v>
      </c>
      <c r="U46" s="36" t="n">
        <v>274</v>
      </c>
      <c r="V46" s="36" t="n">
        <v>351</v>
      </c>
      <c r="W46" s="36" t="n">
        <v>351</v>
      </c>
      <c r="X46" s="36" t="n">
        <v>351</v>
      </c>
      <c r="Y46" s="36" t="n">
        <v>351</v>
      </c>
      <c r="Z46" s="36" t="n">
        <v>481</v>
      </c>
      <c r="AA46" s="36" t="n">
        <v>481</v>
      </c>
      <c r="AB46" s="36" t="n">
        <v>481</v>
      </c>
      <c r="AC46" s="36" t="n">
        <v>481</v>
      </c>
      <c r="AD46" s="36" t="n">
        <v>586</v>
      </c>
      <c r="AE46" s="36" t="n">
        <v>586</v>
      </c>
      <c r="AF46" s="36" t="n">
        <v>586</v>
      </c>
      <c r="AG46" s="36" t="n">
        <v>586</v>
      </c>
      <c r="AH46" s="36" t="n">
        <v>656</v>
      </c>
      <c r="AI46" s="36" t="n">
        <v>656</v>
      </c>
      <c r="AJ46" s="36" t="n">
        <v>656</v>
      </c>
      <c r="AK46" s="36" t="n">
        <v>656</v>
      </c>
      <c r="AL46" s="36" t="n">
        <v>1130</v>
      </c>
      <c r="AM46" s="36" t="n">
        <v>1130</v>
      </c>
      <c r="AN46" s="36" t="n">
        <v>1130</v>
      </c>
      <c r="AO46" s="36" t="n">
        <v>1130</v>
      </c>
      <c r="AP46" s="36" t="n">
        <v>1002</v>
      </c>
      <c r="AQ46" s="36" t="n">
        <v>1002</v>
      </c>
      <c r="AR46" s="36" t="n">
        <v>1002</v>
      </c>
      <c r="AS46" s="36" t="n">
        <v>1002</v>
      </c>
      <c r="AT46" s="36" t="n">
        <v>885</v>
      </c>
      <c r="AU46" s="36" t="n">
        <v>885</v>
      </c>
      <c r="AV46" s="36" t="n">
        <v>885</v>
      </c>
      <c r="AW46" s="36" t="n">
        <v>885</v>
      </c>
      <c r="AX46" s="36" t="n">
        <v>774</v>
      </c>
      <c r="AY46" s="36" t="n">
        <v>774</v>
      </c>
      <c r="AZ46" s="36" t="n">
        <v>774</v>
      </c>
      <c r="BA46" s="36" t="n">
        <v>774</v>
      </c>
      <c r="BB46" s="36" t="n">
        <v>823</v>
      </c>
      <c r="BC46" s="36" t="n">
        <v>823</v>
      </c>
      <c r="BD46" s="36" t="n">
        <v>823</v>
      </c>
      <c r="BE46" s="36" t="n">
        <v>823</v>
      </c>
      <c r="BF46" s="36" t="n">
        <v>950</v>
      </c>
      <c r="BG46" s="36" t="n">
        <v>950</v>
      </c>
      <c r="BH46" s="44" t="n">
        <v>1000</v>
      </c>
      <c r="BI46" s="44" t="n">
        <v>1000</v>
      </c>
      <c r="BJ46" s="44" t="n">
        <v>1100</v>
      </c>
      <c r="BK46" s="44" t="n">
        <v>1100</v>
      </c>
      <c r="BL46" s="44" t="n">
        <v>1100</v>
      </c>
      <c r="BM46" s="44" t="n">
        <v>1100</v>
      </c>
      <c r="BN46" s="44" t="n">
        <v>1200</v>
      </c>
      <c r="BO46" s="44" t="n">
        <v>1200</v>
      </c>
      <c r="BP46" s="44" t="n">
        <v>1200</v>
      </c>
      <c r="BQ46" s="44" t="n">
        <v>1200</v>
      </c>
      <c r="BR46" s="31" t="inlineStr">
        <is>
          <t>股份支付，加回CFO并计入APIC。预测$1.0–1.2m/季。</t>
        </is>
      </c>
    </row>
    <row r="47">
      <c r="A47" s="4" t="inlineStr">
        <is>
          <t>P&amp;L</t>
        </is>
      </c>
      <c r="B47" s="7" t="inlineStr">
        <is>
          <t>Diluted / basic shares</t>
        </is>
      </c>
      <c r="C47" s="4" t="inlineStr">
        <is>
          <t>k shares</t>
        </is>
      </c>
      <c r="D47" s="36" t="n">
        <v>32894</v>
      </c>
      <c r="E47" s="36" t="n">
        <v>38966</v>
      </c>
      <c r="F47" s="36" t="n">
        <v>40265</v>
      </c>
      <c r="G47" s="36" t="n">
        <v>39487</v>
      </c>
      <c r="H47" s="36" t="n">
        <v>41025</v>
      </c>
      <c r="I47" s="36" t="n">
        <v>42720</v>
      </c>
      <c r="J47" s="36" t="n">
        <v>42715</v>
      </c>
      <c r="K47" s="36" t="n">
        <v>42643</v>
      </c>
      <c r="L47" s="36" t="n">
        <v>43154</v>
      </c>
      <c r="M47" s="36" t="n">
        <v>43933</v>
      </c>
      <c r="N47" s="37">
        <f>BI47</f>
        <v/>
      </c>
      <c r="O47" s="38">
        <f>BM47</f>
        <v/>
      </c>
      <c r="P47" s="38">
        <f>BQ47</f>
        <v/>
      </c>
      <c r="R47" s="36" t="n">
        <v>32894</v>
      </c>
      <c r="S47" s="36" t="n">
        <v>32894</v>
      </c>
      <c r="T47" s="36" t="n">
        <v>32894</v>
      </c>
      <c r="U47" s="36" t="n">
        <v>32894</v>
      </c>
      <c r="V47" s="36" t="n">
        <v>38966</v>
      </c>
      <c r="W47" s="36" t="n">
        <v>38966</v>
      </c>
      <c r="X47" s="36" t="n">
        <v>38966</v>
      </c>
      <c r="Y47" s="36" t="n">
        <v>38966</v>
      </c>
      <c r="Z47" s="36" t="n">
        <v>40265</v>
      </c>
      <c r="AA47" s="36" t="n">
        <v>40265</v>
      </c>
      <c r="AB47" s="36" t="n">
        <v>40265</v>
      </c>
      <c r="AC47" s="36" t="n">
        <v>40265</v>
      </c>
      <c r="AD47" s="36" t="n">
        <v>39487</v>
      </c>
      <c r="AE47" s="36" t="n">
        <v>39487</v>
      </c>
      <c r="AF47" s="36" t="n">
        <v>39487</v>
      </c>
      <c r="AG47" s="36" t="n">
        <v>39487</v>
      </c>
      <c r="AH47" s="36" t="n">
        <v>41025</v>
      </c>
      <c r="AI47" s="36" t="n">
        <v>41025</v>
      </c>
      <c r="AJ47" s="36" t="n">
        <v>41025</v>
      </c>
      <c r="AK47" s="36" t="n">
        <v>41025</v>
      </c>
      <c r="AL47" s="36" t="n">
        <v>42720</v>
      </c>
      <c r="AM47" s="36" t="n">
        <v>42720</v>
      </c>
      <c r="AN47" s="36" t="n">
        <v>42720</v>
      </c>
      <c r="AO47" s="36" t="n">
        <v>42720</v>
      </c>
      <c r="AP47" s="36" t="n">
        <v>42715</v>
      </c>
      <c r="AQ47" s="36" t="n">
        <v>42715</v>
      </c>
      <c r="AR47" s="36" t="n">
        <v>42715</v>
      </c>
      <c r="AS47" s="36" t="n">
        <v>42715</v>
      </c>
      <c r="AT47" s="36" t="n">
        <v>42643</v>
      </c>
      <c r="AU47" s="36" t="n">
        <v>42643</v>
      </c>
      <c r="AV47" s="36" t="n">
        <v>42643</v>
      </c>
      <c r="AW47" s="36" t="n">
        <v>42643</v>
      </c>
      <c r="AX47" s="36" t="n">
        <v>43154</v>
      </c>
      <c r="AY47" s="36" t="n">
        <v>43154</v>
      </c>
      <c r="AZ47" s="36" t="n">
        <v>43154</v>
      </c>
      <c r="BA47" s="36" t="n">
        <v>43154</v>
      </c>
      <c r="BB47" s="36" t="n">
        <v>43933</v>
      </c>
      <c r="BC47" s="36" t="n">
        <v>43933</v>
      </c>
      <c r="BD47" s="36" t="n">
        <v>43933</v>
      </c>
      <c r="BE47" s="36" t="n">
        <v>43933</v>
      </c>
      <c r="BF47" s="36" t="n">
        <v>55500</v>
      </c>
      <c r="BG47" s="36" t="n">
        <v>65000</v>
      </c>
      <c r="BH47" s="44" t="n">
        <v>64200</v>
      </c>
      <c r="BI47" s="44" t="n">
        <v>64400</v>
      </c>
      <c r="BJ47" s="44" t="n">
        <v>64700</v>
      </c>
      <c r="BK47" s="44" t="n">
        <v>65000</v>
      </c>
      <c r="BL47" s="44" t="n">
        <v>65300</v>
      </c>
      <c r="BM47" s="44" t="n">
        <v>65600</v>
      </c>
      <c r="BN47" s="44" t="n">
        <v>65900</v>
      </c>
      <c r="BO47" s="44" t="n">
        <v>66200</v>
      </c>
      <c r="BP47" s="44" t="n">
        <v>66500</v>
      </c>
      <c r="BQ47" s="44" t="n">
        <v>66800</v>
      </c>
      <c r="BR47" s="31" t="inlineStr">
        <is>
          <t>基本股本。2025增发8.16m股；2026年4月再融资后约64.2m（Q2'26 filing）。预测随RSU小幅增加。</t>
        </is>
      </c>
    </row>
    <row r="49">
      <c r="A49" s="50" t="inlineStr">
        <is>
          <t>III.  CONSOLIDATED P&amp;L  （利润表）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inlineStr"/>
    </row>
    <row r="50">
      <c r="A50" s="4" t="inlineStr">
        <is>
          <t>P&amp;L</t>
        </is>
      </c>
      <c r="B50" s="7" t="inlineStr">
        <is>
          <t>Revenue</t>
        </is>
      </c>
      <c r="C50" s="4" t="inlineStr">
        <is>
          <t>$000</t>
        </is>
      </c>
      <c r="D50" s="52" t="n">
        <v>81349</v>
      </c>
      <c r="E50" s="52" t="n">
        <v>98673</v>
      </c>
      <c r="F50" s="52" t="n">
        <v>102397</v>
      </c>
      <c r="G50" s="52" t="n">
        <v>83256</v>
      </c>
      <c r="H50" s="52" t="n">
        <v>95361</v>
      </c>
      <c r="I50" s="52" t="n">
        <v>137393</v>
      </c>
      <c r="J50" s="52" t="n">
        <v>141118</v>
      </c>
      <c r="K50" s="52" t="n">
        <v>75795</v>
      </c>
      <c r="L50" s="52" t="n">
        <v>99361</v>
      </c>
      <c r="M50" s="52" t="n">
        <v>88326</v>
      </c>
      <c r="N50" s="45">
        <f>BF50+BG50+BH50+BI50</f>
        <v/>
      </c>
      <c r="O50" s="45">
        <f>BJ50+BK50+BL50+BM50</f>
        <v/>
      </c>
      <c r="P50" s="45">
        <f>BN50+BO50+BP50+BQ50</f>
        <v/>
      </c>
      <c r="R50" s="52" t="n">
        <v>18713</v>
      </c>
      <c r="S50" s="52" t="n">
        <v>20495</v>
      </c>
      <c r="T50" s="52" t="n">
        <v>21872</v>
      </c>
      <c r="U50" s="52" t="n">
        <v>20269</v>
      </c>
      <c r="V50" s="52" t="n">
        <v>20616</v>
      </c>
      <c r="W50" s="52" t="n">
        <v>23557</v>
      </c>
      <c r="X50" s="52" t="n">
        <v>28168</v>
      </c>
      <c r="Y50" s="52" t="n">
        <v>26332</v>
      </c>
      <c r="Z50" s="52" t="n">
        <v>24419</v>
      </c>
      <c r="AA50" s="52" t="n">
        <v>27120</v>
      </c>
      <c r="AB50" s="52" t="n">
        <v>28626</v>
      </c>
      <c r="AC50" s="52" t="n">
        <v>22232</v>
      </c>
      <c r="AD50" s="52" t="n">
        <v>20208</v>
      </c>
      <c r="AE50" s="52" t="n">
        <v>24797</v>
      </c>
      <c r="AF50" s="52" t="n">
        <v>19841</v>
      </c>
      <c r="AG50" s="52" t="n">
        <v>18410</v>
      </c>
      <c r="AH50" s="52" t="n">
        <v>20723</v>
      </c>
      <c r="AI50" s="52" t="n">
        <v>22134</v>
      </c>
      <c r="AJ50" s="52" t="n">
        <v>25469</v>
      </c>
      <c r="AK50" s="52" t="n">
        <v>27035</v>
      </c>
      <c r="AL50" s="52" t="n">
        <v>31350</v>
      </c>
      <c r="AM50" s="52" t="n">
        <v>33735</v>
      </c>
      <c r="AN50" s="52" t="n">
        <v>34576</v>
      </c>
      <c r="AO50" s="52" t="n">
        <v>37732</v>
      </c>
      <c r="AP50" s="52" t="n">
        <v>39653</v>
      </c>
      <c r="AQ50" s="52" t="n">
        <v>39487</v>
      </c>
      <c r="AR50" s="52" t="n">
        <v>35183</v>
      </c>
      <c r="AS50" s="52" t="n">
        <v>26795</v>
      </c>
      <c r="AT50" s="52" t="n">
        <v>19405</v>
      </c>
      <c r="AU50" s="52" t="n">
        <v>18595</v>
      </c>
      <c r="AV50" s="52" t="n">
        <v>17366</v>
      </c>
      <c r="AW50" s="52" t="n">
        <v>20429</v>
      </c>
      <c r="AX50" s="52" t="n">
        <v>22688</v>
      </c>
      <c r="AY50" s="52" t="n">
        <v>27923</v>
      </c>
      <c r="AZ50" s="52" t="n">
        <v>23645</v>
      </c>
      <c r="BA50" s="52" t="n">
        <v>25105</v>
      </c>
      <c r="BB50" s="52" t="n">
        <v>19356</v>
      </c>
      <c r="BC50" s="52" t="n">
        <v>17974</v>
      </c>
      <c r="BD50" s="52" t="n">
        <v>27955</v>
      </c>
      <c r="BE50" s="52" t="n">
        <v>23041</v>
      </c>
      <c r="BF50" s="52" t="n">
        <v>26924</v>
      </c>
      <c r="BG50" s="52" t="n">
        <v>47589</v>
      </c>
      <c r="BH50" s="45">
        <f>BH26</f>
        <v/>
      </c>
      <c r="BI50" s="45">
        <f>BI26</f>
        <v/>
      </c>
      <c r="BJ50" s="45">
        <f>BJ26</f>
        <v/>
      </c>
      <c r="BK50" s="45">
        <f>BK26</f>
        <v/>
      </c>
      <c r="BL50" s="45">
        <f>BL26</f>
        <v/>
      </c>
      <c r="BM50" s="45">
        <f>BM26</f>
        <v/>
      </c>
      <c r="BN50" s="45">
        <f>BN26</f>
        <v/>
      </c>
      <c r="BO50" s="45">
        <f>BO26</f>
        <v/>
      </c>
      <c r="BP50" s="45">
        <f>BP26</f>
        <v/>
      </c>
      <c r="BQ50" s="45">
        <f>BQ26</f>
        <v/>
      </c>
      <c r="BR50" s="31" t="inlineStr">
        <is>
          <t>营业收入。历史=10-K/10-Q；预测=驱动表Total revenue。</t>
        </is>
      </c>
    </row>
    <row r="51">
      <c r="A51" s="4" t="inlineStr">
        <is>
          <t>P&amp;L</t>
        </is>
      </c>
      <c r="B51" s="7" t="inlineStr">
        <is>
          <t>Cost of revenue</t>
        </is>
      </c>
      <c r="C51" s="4" t="inlineStr">
        <is>
          <t>$000</t>
        </is>
      </c>
      <c r="D51" s="36" t="n">
        <v>54968</v>
      </c>
      <c r="E51" s="36" t="n">
        <v>64198</v>
      </c>
      <c r="F51" s="36" t="n">
        <v>65350</v>
      </c>
      <c r="G51" s="36" t="n">
        <v>58431</v>
      </c>
      <c r="H51" s="36" t="n">
        <v>65086</v>
      </c>
      <c r="I51" s="36" t="n">
        <v>89979</v>
      </c>
      <c r="J51" s="36" t="n">
        <v>88997</v>
      </c>
      <c r="K51" s="36" t="n">
        <v>62477</v>
      </c>
      <c r="L51" s="36" t="n">
        <v>75525</v>
      </c>
      <c r="M51" s="36" t="n">
        <v>77084</v>
      </c>
      <c r="N51" s="37">
        <f>BF51+BG51+BH51+BI51</f>
        <v/>
      </c>
      <c r="O51" s="38">
        <f>BJ51+BK51+BL51+BM51</f>
        <v/>
      </c>
      <c r="P51" s="38">
        <f>BN51+BO51+BP51+BQ51</f>
        <v/>
      </c>
      <c r="R51" s="36" t="n">
        <v>13460</v>
      </c>
      <c r="S51" s="36" t="n">
        <v>14468</v>
      </c>
      <c r="T51" s="36" t="n">
        <v>14294</v>
      </c>
      <c r="U51" s="36" t="n">
        <v>12746</v>
      </c>
      <c r="V51" s="36" t="n">
        <v>14328</v>
      </c>
      <c r="W51" s="36" t="n">
        <v>16301</v>
      </c>
      <c r="X51" s="36" t="n">
        <v>17035</v>
      </c>
      <c r="Y51" s="36" t="n">
        <v>16534</v>
      </c>
      <c r="Z51" s="36" t="n">
        <v>14846</v>
      </c>
      <c r="AA51" s="36" t="n">
        <v>16110</v>
      </c>
      <c r="AB51" s="36" t="n">
        <v>18012</v>
      </c>
      <c r="AC51" s="36" t="n">
        <v>16382</v>
      </c>
      <c r="AD51" s="36" t="n">
        <v>13513</v>
      </c>
      <c r="AE51" s="36" t="n">
        <v>16291</v>
      </c>
      <c r="AF51" s="36" t="n">
        <v>14082</v>
      </c>
      <c r="AG51" s="36" t="n">
        <v>14545</v>
      </c>
      <c r="AH51" s="36" t="n">
        <v>15201</v>
      </c>
      <c r="AI51" s="36" t="n">
        <v>15366</v>
      </c>
      <c r="AJ51" s="36" t="n">
        <v>16646</v>
      </c>
      <c r="AK51" s="36" t="n">
        <v>17873</v>
      </c>
      <c r="AL51" s="36" t="n">
        <v>19814</v>
      </c>
      <c r="AM51" s="36" t="n">
        <v>21497</v>
      </c>
      <c r="AN51" s="36" t="n">
        <v>23075</v>
      </c>
      <c r="AO51" s="36" t="n">
        <v>25593</v>
      </c>
      <c r="AP51" s="36" t="n">
        <v>26345</v>
      </c>
      <c r="AQ51" s="36" t="n">
        <v>24052</v>
      </c>
      <c r="AR51" s="36" t="n">
        <v>20401</v>
      </c>
      <c r="AS51" s="36" t="n">
        <v>18199</v>
      </c>
      <c r="AT51" s="36" t="n">
        <v>14295</v>
      </c>
      <c r="AU51" s="36" t="n">
        <v>16880</v>
      </c>
      <c r="AV51" s="36" t="n">
        <v>15500</v>
      </c>
      <c r="AW51" s="36" t="n">
        <v>15802</v>
      </c>
      <c r="AX51" s="36" t="n">
        <v>16594</v>
      </c>
      <c r="AY51" s="36" t="n">
        <v>20271</v>
      </c>
      <c r="AZ51" s="36" t="n">
        <v>17963</v>
      </c>
      <c r="BA51" s="36" t="n">
        <v>20697</v>
      </c>
      <c r="BB51" s="36" t="n">
        <v>20597</v>
      </c>
      <c r="BC51" s="36" t="n">
        <v>16541</v>
      </c>
      <c r="BD51" s="36" t="n">
        <v>21731</v>
      </c>
      <c r="BE51" s="36" t="n">
        <v>18215</v>
      </c>
      <c r="BF51" s="36" t="n">
        <v>18946</v>
      </c>
      <c r="BG51" s="36" t="n">
        <v>26223</v>
      </c>
      <c r="BH51" s="38">
        <f>BH21+(BH23+BH24+BH25)*(1-BH32)</f>
        <v/>
      </c>
      <c r="BI51" s="38">
        <f>BI21+(BI23+BI24+BI25)*(1-BI32)</f>
        <v/>
      </c>
      <c r="BJ51" s="38">
        <f>BJ21+(BJ23+BJ24+BJ25)*(1-BJ32)</f>
        <v/>
      </c>
      <c r="BK51" s="38">
        <f>BK21+(BK23+BK24+BK25)*(1-BK32)</f>
        <v/>
      </c>
      <c r="BL51" s="38">
        <f>BL21+(BL23+BL24+BL25)*(1-BL32)</f>
        <v/>
      </c>
      <c r="BM51" s="38">
        <f>BM21+(BM23+BM24+BM25)*(1-BM32)</f>
        <v/>
      </c>
      <c r="BN51" s="38">
        <f>BN21+(BN23+BN24+BN25)*(1-BN32)</f>
        <v/>
      </c>
      <c r="BO51" s="38">
        <f>BO21+(BO23+BO24+BO25)*(1-BO32)</f>
        <v/>
      </c>
      <c r="BP51" s="38">
        <f>BP21+(BP23+BP24+BP25)*(1-BP32)</f>
        <v/>
      </c>
      <c r="BQ51" s="38">
        <f>BQ21+(BQ23+BQ24+BQ25)*(1-BQ32)</f>
        <v/>
      </c>
      <c r="BR51" s="31" t="inlineStr">
        <is>
          <t>历史硬编码；预测=InP COGS + 非InP收入×(1−非InP毛利率)。</t>
        </is>
      </c>
    </row>
    <row r="52">
      <c r="A52" s="4" t="inlineStr">
        <is>
          <t>P&amp;L</t>
        </is>
      </c>
      <c r="B52" s="5" t="inlineStr">
        <is>
          <t>Gross profit</t>
        </is>
      </c>
      <c r="C52" s="4" t="inlineStr">
        <is>
          <t>$000</t>
        </is>
      </c>
      <c r="D52" s="45">
        <f>D50-D51</f>
        <v/>
      </c>
      <c r="E52" s="45">
        <f>E50-E51</f>
        <v/>
      </c>
      <c r="F52" s="45">
        <f>F50-F51</f>
        <v/>
      </c>
      <c r="G52" s="45">
        <f>G50-G51</f>
        <v/>
      </c>
      <c r="H52" s="45">
        <f>H50-H51</f>
        <v/>
      </c>
      <c r="I52" s="45">
        <f>I50-I51</f>
        <v/>
      </c>
      <c r="J52" s="45">
        <f>J50-J51</f>
        <v/>
      </c>
      <c r="K52" s="45">
        <f>K50-K51</f>
        <v/>
      </c>
      <c r="L52" s="45">
        <f>L50-L51</f>
        <v/>
      </c>
      <c r="M52" s="45">
        <f>M50-M51</f>
        <v/>
      </c>
      <c r="N52" s="45">
        <f>N50-N51</f>
        <v/>
      </c>
      <c r="O52" s="45">
        <f>O50-O51</f>
        <v/>
      </c>
      <c r="P52" s="45">
        <f>P50-P51</f>
        <v/>
      </c>
      <c r="R52" s="45">
        <f>R50-R51</f>
        <v/>
      </c>
      <c r="S52" s="45">
        <f>S50-S51</f>
        <v/>
      </c>
      <c r="T52" s="45">
        <f>T50-T51</f>
        <v/>
      </c>
      <c r="U52" s="45">
        <f>U50-U51</f>
        <v/>
      </c>
      <c r="V52" s="45">
        <f>V50-V51</f>
        <v/>
      </c>
      <c r="W52" s="45">
        <f>W50-W51</f>
        <v/>
      </c>
      <c r="X52" s="45">
        <f>X50-X51</f>
        <v/>
      </c>
      <c r="Y52" s="45">
        <f>Y50-Y51</f>
        <v/>
      </c>
      <c r="Z52" s="45">
        <f>Z50-Z51</f>
        <v/>
      </c>
      <c r="AA52" s="45">
        <f>AA50-AA51</f>
        <v/>
      </c>
      <c r="AB52" s="45">
        <f>AB50-AB51</f>
        <v/>
      </c>
      <c r="AC52" s="45">
        <f>AC50-AC51</f>
        <v/>
      </c>
      <c r="AD52" s="45">
        <f>AD50-AD51</f>
        <v/>
      </c>
      <c r="AE52" s="45">
        <f>AE50-AE51</f>
        <v/>
      </c>
      <c r="AF52" s="45">
        <f>AF50-AF51</f>
        <v/>
      </c>
      <c r="AG52" s="45">
        <f>AG50-AG51</f>
        <v/>
      </c>
      <c r="AH52" s="45">
        <f>AH50-AH51</f>
        <v/>
      </c>
      <c r="AI52" s="45">
        <f>AI50-AI51</f>
        <v/>
      </c>
      <c r="AJ52" s="45">
        <f>AJ50-AJ51</f>
        <v/>
      </c>
      <c r="AK52" s="45">
        <f>AK50-AK51</f>
        <v/>
      </c>
      <c r="AL52" s="45">
        <f>AL50-AL51</f>
        <v/>
      </c>
      <c r="AM52" s="45">
        <f>AM50-AM51</f>
        <v/>
      </c>
      <c r="AN52" s="45">
        <f>AN50-AN51</f>
        <v/>
      </c>
      <c r="AO52" s="45">
        <f>AO50-AO51</f>
        <v/>
      </c>
      <c r="AP52" s="45">
        <f>AP50-AP51</f>
        <v/>
      </c>
      <c r="AQ52" s="45">
        <f>AQ50-AQ51</f>
        <v/>
      </c>
      <c r="AR52" s="45">
        <f>AR50-AR51</f>
        <v/>
      </c>
      <c r="AS52" s="45">
        <f>AS50-AS51</f>
        <v/>
      </c>
      <c r="AT52" s="45">
        <f>AT50-AT51</f>
        <v/>
      </c>
      <c r="AU52" s="45">
        <f>AU50-AU51</f>
        <v/>
      </c>
      <c r="AV52" s="45">
        <f>AV50-AV51</f>
        <v/>
      </c>
      <c r="AW52" s="45">
        <f>AW50-AW51</f>
        <v/>
      </c>
      <c r="AX52" s="45">
        <f>AX50-AX51</f>
        <v/>
      </c>
      <c r="AY52" s="45">
        <f>AY50-AY51</f>
        <v/>
      </c>
      <c r="AZ52" s="45">
        <f>AZ50-AZ51</f>
        <v/>
      </c>
      <c r="BA52" s="45">
        <f>BA50-BA51</f>
        <v/>
      </c>
      <c r="BB52" s="45">
        <f>BB50-BB51</f>
        <v/>
      </c>
      <c r="BC52" s="45">
        <f>BC50-BC51</f>
        <v/>
      </c>
      <c r="BD52" s="45">
        <f>BD50-BD51</f>
        <v/>
      </c>
      <c r="BE52" s="45">
        <f>BE50-BE51</f>
        <v/>
      </c>
      <c r="BF52" s="45">
        <f>BF50-BF51</f>
        <v/>
      </c>
      <c r="BG52" s="45">
        <f>BG50-BG51</f>
        <v/>
      </c>
      <c r="BH52" s="45">
        <f>BH50-BH51</f>
        <v/>
      </c>
      <c r="BI52" s="45">
        <f>BI50-BI51</f>
        <v/>
      </c>
      <c r="BJ52" s="45">
        <f>BJ50-BJ51</f>
        <v/>
      </c>
      <c r="BK52" s="45">
        <f>BK50-BK51</f>
        <v/>
      </c>
      <c r="BL52" s="45">
        <f>BL50-BL51</f>
        <v/>
      </c>
      <c r="BM52" s="45">
        <f>BM50-BM51</f>
        <v/>
      </c>
      <c r="BN52" s="45">
        <f>BN50-BN51</f>
        <v/>
      </c>
      <c r="BO52" s="45">
        <f>BO50-BO51</f>
        <v/>
      </c>
      <c r="BP52" s="45">
        <f>BP50-BP51</f>
        <v/>
      </c>
      <c r="BQ52" s="45">
        <f>BQ50-BQ51</f>
        <v/>
      </c>
      <c r="BR52" s="31" t="inlineStr">
        <is>
          <t>毛利=收入−成本（公式）。</t>
        </is>
      </c>
    </row>
    <row r="53">
      <c r="A53" s="4" t="inlineStr">
        <is>
          <t>P&amp;L</t>
        </is>
      </c>
      <c r="B53" s="7" t="inlineStr">
        <is>
          <t>Gross margin</t>
        </is>
      </c>
      <c r="C53" s="4" t="inlineStr">
        <is>
          <t>%</t>
        </is>
      </c>
      <c r="D53" s="40">
        <f>IF(D50=0,0,D52/D50)</f>
        <v/>
      </c>
      <c r="E53" s="40">
        <f>IF(E50=0,0,E52/E50)</f>
        <v/>
      </c>
      <c r="F53" s="40">
        <f>IF(F50=0,0,F52/F50)</f>
        <v/>
      </c>
      <c r="G53" s="40">
        <f>IF(G50=0,0,G52/G50)</f>
        <v/>
      </c>
      <c r="H53" s="40">
        <f>IF(H50=0,0,H52/H50)</f>
        <v/>
      </c>
      <c r="I53" s="40">
        <f>IF(I50=0,0,I52/I50)</f>
        <v/>
      </c>
      <c r="J53" s="40">
        <f>IF(J50=0,0,J52/J50)</f>
        <v/>
      </c>
      <c r="K53" s="40">
        <f>IF(K50=0,0,K52/K50)</f>
        <v/>
      </c>
      <c r="L53" s="40">
        <f>IF(L50=0,0,L52/L50)</f>
        <v/>
      </c>
      <c r="M53" s="40">
        <f>IF(M50=0,0,M52/M50)</f>
        <v/>
      </c>
      <c r="N53" s="41">
        <f>IF(N50=0,0,N52/N50)</f>
        <v/>
      </c>
      <c r="O53" s="42">
        <f>IF(O50=0,0,O52/O50)</f>
        <v/>
      </c>
      <c r="P53" s="42">
        <f>IF(P50=0,0,P52/P50)</f>
        <v/>
      </c>
      <c r="R53" s="40">
        <f>IF(R50=0,0,R52/R50)</f>
        <v/>
      </c>
      <c r="S53" s="40">
        <f>IF(S50=0,0,S52/S50)</f>
        <v/>
      </c>
      <c r="T53" s="40">
        <f>IF(T50=0,0,T52/T50)</f>
        <v/>
      </c>
      <c r="U53" s="40">
        <f>IF(U50=0,0,U52/U50)</f>
        <v/>
      </c>
      <c r="V53" s="40">
        <f>IF(V50=0,0,V52/V50)</f>
        <v/>
      </c>
      <c r="W53" s="40">
        <f>IF(W50=0,0,W52/W50)</f>
        <v/>
      </c>
      <c r="X53" s="40">
        <f>IF(X50=0,0,X52/X50)</f>
        <v/>
      </c>
      <c r="Y53" s="40">
        <f>IF(Y50=0,0,Y52/Y50)</f>
        <v/>
      </c>
      <c r="Z53" s="40">
        <f>IF(Z50=0,0,Z52/Z50)</f>
        <v/>
      </c>
      <c r="AA53" s="40">
        <f>IF(AA50=0,0,AA52/AA50)</f>
        <v/>
      </c>
      <c r="AB53" s="40">
        <f>IF(AB50=0,0,AB52/AB50)</f>
        <v/>
      </c>
      <c r="AC53" s="40">
        <f>IF(AC50=0,0,AC52/AC50)</f>
        <v/>
      </c>
      <c r="AD53" s="40">
        <f>IF(AD50=0,0,AD52/AD50)</f>
        <v/>
      </c>
      <c r="AE53" s="40">
        <f>IF(AE50=0,0,AE52/AE50)</f>
        <v/>
      </c>
      <c r="AF53" s="40">
        <f>IF(AF50=0,0,AF52/AF50)</f>
        <v/>
      </c>
      <c r="AG53" s="40">
        <f>IF(AG50=0,0,AG52/AG50)</f>
        <v/>
      </c>
      <c r="AH53" s="40">
        <f>IF(AH50=0,0,AH52/AH50)</f>
        <v/>
      </c>
      <c r="AI53" s="40">
        <f>IF(AI50=0,0,AI52/AI50)</f>
        <v/>
      </c>
      <c r="AJ53" s="40">
        <f>IF(AJ50=0,0,AJ52/AJ50)</f>
        <v/>
      </c>
      <c r="AK53" s="40">
        <f>IF(AK50=0,0,AK52/AK50)</f>
        <v/>
      </c>
      <c r="AL53" s="40">
        <f>IF(AL50=0,0,AL52/AL50)</f>
        <v/>
      </c>
      <c r="AM53" s="40">
        <f>IF(AM50=0,0,AM52/AM50)</f>
        <v/>
      </c>
      <c r="AN53" s="40">
        <f>IF(AN50=0,0,AN52/AN50)</f>
        <v/>
      </c>
      <c r="AO53" s="40">
        <f>IF(AO50=0,0,AO52/AO50)</f>
        <v/>
      </c>
      <c r="AP53" s="40">
        <f>IF(AP50=0,0,AP52/AP50)</f>
        <v/>
      </c>
      <c r="AQ53" s="40">
        <f>IF(AQ50=0,0,AQ52/AQ50)</f>
        <v/>
      </c>
      <c r="AR53" s="40">
        <f>IF(AR50=0,0,AR52/AR50)</f>
        <v/>
      </c>
      <c r="AS53" s="40">
        <f>IF(AS50=0,0,AS52/AS50)</f>
        <v/>
      </c>
      <c r="AT53" s="40">
        <f>IF(AT50=0,0,AT52/AT50)</f>
        <v/>
      </c>
      <c r="AU53" s="40">
        <f>IF(AU50=0,0,AU52/AU50)</f>
        <v/>
      </c>
      <c r="AV53" s="40">
        <f>IF(AV50=0,0,AV52/AV50)</f>
        <v/>
      </c>
      <c r="AW53" s="40">
        <f>IF(AW50=0,0,AW52/AW50)</f>
        <v/>
      </c>
      <c r="AX53" s="40">
        <f>IF(AX50=0,0,AX52/AX50)</f>
        <v/>
      </c>
      <c r="AY53" s="40">
        <f>IF(AY50=0,0,AY52/AY50)</f>
        <v/>
      </c>
      <c r="AZ53" s="40">
        <f>IF(AZ50=0,0,AZ52/AZ50)</f>
        <v/>
      </c>
      <c r="BA53" s="40">
        <f>IF(BA50=0,0,BA52/BA50)</f>
        <v/>
      </c>
      <c r="BB53" s="40">
        <f>IF(BB50=0,0,BB52/BB50)</f>
        <v/>
      </c>
      <c r="BC53" s="40">
        <f>IF(BC50=0,0,BC52/BC50)</f>
        <v/>
      </c>
      <c r="BD53" s="40">
        <f>IF(BD50=0,0,BD52/BD50)</f>
        <v/>
      </c>
      <c r="BE53" s="40">
        <f>IF(BE50=0,0,BE52/BE50)</f>
        <v/>
      </c>
      <c r="BF53" s="40">
        <f>IF(BF50=0,0,BF52/BF50)</f>
        <v/>
      </c>
      <c r="BG53" s="40">
        <f>IF(BG50=0,0,BG52/BG50)</f>
        <v/>
      </c>
      <c r="BH53" s="42">
        <f>IF(BH50=0,0,BH52/BH50)</f>
        <v/>
      </c>
      <c r="BI53" s="42">
        <f>IF(BI50=0,0,BI52/BI50)</f>
        <v/>
      </c>
      <c r="BJ53" s="42">
        <f>IF(BJ50=0,0,BJ52/BJ50)</f>
        <v/>
      </c>
      <c r="BK53" s="42">
        <f>IF(BK50=0,0,BK52/BK50)</f>
        <v/>
      </c>
      <c r="BL53" s="42">
        <f>IF(BL50=0,0,BL52/BL50)</f>
        <v/>
      </c>
      <c r="BM53" s="42">
        <f>IF(BM50=0,0,BM52/BM50)</f>
        <v/>
      </c>
      <c r="BN53" s="42">
        <f>IF(BN50=0,0,BN52/BN50)</f>
        <v/>
      </c>
      <c r="BO53" s="42">
        <f>IF(BO50=0,0,BO52/BO50)</f>
        <v/>
      </c>
      <c r="BP53" s="42">
        <f>IF(BP50=0,0,BP52/BP50)</f>
        <v/>
      </c>
      <c r="BQ53" s="42">
        <f>IF(BQ50=0,0,BQ52/BQ50)</f>
        <v/>
      </c>
      <c r="BR53" s="31" t="inlineStr">
        <is>
          <t>毛利率。Q2'26实际44.9%（高开工+InP结构）；2025全年仅12.7%（许可/低开工）。</t>
        </is>
      </c>
    </row>
    <row r="54">
      <c r="A54" s="4" t="inlineStr">
        <is>
          <t>P&amp;L</t>
        </is>
      </c>
      <c r="B54" s="7" t="inlineStr">
        <is>
          <t>Selling, general &amp; administrative</t>
        </is>
      </c>
      <c r="C54" s="4" t="inlineStr">
        <is>
          <t>$000</t>
        </is>
      </c>
      <c r="D54" s="36" t="n">
        <v>13880</v>
      </c>
      <c r="E54" s="36" t="n">
        <v>17009</v>
      </c>
      <c r="F54" s="36" t="n">
        <v>19003</v>
      </c>
      <c r="G54" s="36" t="n">
        <v>19305</v>
      </c>
      <c r="H54" s="36" t="n">
        <v>19200</v>
      </c>
      <c r="I54" s="36" t="n">
        <v>24189</v>
      </c>
      <c r="J54" s="36" t="n">
        <v>25654</v>
      </c>
      <c r="K54" s="36" t="n">
        <v>22806</v>
      </c>
      <c r="L54" s="36" t="n">
        <v>24096</v>
      </c>
      <c r="M54" s="36" t="n">
        <v>24169</v>
      </c>
      <c r="N54" s="37">
        <f>BF54+BG54+BH54+BI54</f>
        <v/>
      </c>
      <c r="O54" s="38">
        <f>BJ54+BK54+BL54+BM54</f>
        <v/>
      </c>
      <c r="P54" s="38">
        <f>BN54+BO54+BP54+BQ54</f>
        <v/>
      </c>
      <c r="R54" s="36" t="n">
        <v>3374</v>
      </c>
      <c r="S54" s="36" t="n">
        <v>3419</v>
      </c>
      <c r="T54" s="36" t="n">
        <v>3313</v>
      </c>
      <c r="U54" s="36" t="n">
        <v>3774</v>
      </c>
      <c r="V54" s="36" t="n">
        <v>3793</v>
      </c>
      <c r="W54" s="36" t="n">
        <v>3942</v>
      </c>
      <c r="X54" s="36" t="n">
        <v>4484</v>
      </c>
      <c r="Y54" s="36" t="n">
        <v>4790</v>
      </c>
      <c r="Z54" s="36" t="n">
        <v>4222</v>
      </c>
      <c r="AA54" s="36" t="n">
        <v>4987</v>
      </c>
      <c r="AB54" s="36" t="n">
        <v>4615</v>
      </c>
      <c r="AC54" s="36" t="n">
        <v>5179</v>
      </c>
      <c r="AD54" s="36" t="n">
        <v>4723</v>
      </c>
      <c r="AE54" s="36" t="n">
        <v>4769</v>
      </c>
      <c r="AF54" s="36" t="n">
        <v>4755</v>
      </c>
      <c r="AG54" s="36" t="n">
        <v>5058</v>
      </c>
      <c r="AH54" s="36" t="n">
        <v>4749</v>
      </c>
      <c r="AI54" s="36" t="n">
        <v>4747</v>
      </c>
      <c r="AJ54" s="36" t="n">
        <v>4623</v>
      </c>
      <c r="AK54" s="36" t="n">
        <v>5081</v>
      </c>
      <c r="AL54" s="36" t="n">
        <v>5570</v>
      </c>
      <c r="AM54" s="36" t="n">
        <v>5795</v>
      </c>
      <c r="AN54" s="36" t="n">
        <v>6476</v>
      </c>
      <c r="AO54" s="36" t="n">
        <v>6348</v>
      </c>
      <c r="AP54" s="36" t="n">
        <v>6450</v>
      </c>
      <c r="AQ54" s="36" t="n">
        <v>6693</v>
      </c>
      <c r="AR54" s="36" t="n">
        <v>6576</v>
      </c>
      <c r="AS54" s="36" t="n">
        <v>5935</v>
      </c>
      <c r="AT54" s="36" t="n">
        <v>5952</v>
      </c>
      <c r="AU54" s="36" t="n">
        <v>5820</v>
      </c>
      <c r="AV54" s="36" t="n">
        <v>5667</v>
      </c>
      <c r="AW54" s="36" t="n">
        <v>5367</v>
      </c>
      <c r="AX54" s="36" t="n">
        <v>6227</v>
      </c>
      <c r="AY54" s="36" t="n">
        <v>5779</v>
      </c>
      <c r="AZ54" s="36" t="n">
        <v>5650</v>
      </c>
      <c r="BA54" s="36" t="n">
        <v>6440</v>
      </c>
      <c r="BB54" s="36" t="n">
        <v>5916</v>
      </c>
      <c r="BC54" s="36" t="n">
        <v>5653</v>
      </c>
      <c r="BD54" s="36" t="n">
        <v>6334</v>
      </c>
      <c r="BE54" s="36" t="n">
        <v>6266</v>
      </c>
      <c r="BF54" s="36" t="n">
        <v>6551</v>
      </c>
      <c r="BG54" s="36" t="n">
        <v>7292</v>
      </c>
      <c r="BH54" s="38">
        <f>BH33</f>
        <v/>
      </c>
      <c r="BI54" s="38">
        <f>BI33</f>
        <v/>
      </c>
      <c r="BJ54" s="38">
        <f>BJ33</f>
        <v/>
      </c>
      <c r="BK54" s="38">
        <f>BK33</f>
        <v/>
      </c>
      <c r="BL54" s="38">
        <f>BL33</f>
        <v/>
      </c>
      <c r="BM54" s="38">
        <f>BM33</f>
        <v/>
      </c>
      <c r="BN54" s="38">
        <f>BN33</f>
        <v/>
      </c>
      <c r="BO54" s="38">
        <f>BO33</f>
        <v/>
      </c>
      <c r="BP54" s="38">
        <f>BP33</f>
        <v/>
      </c>
      <c r="BQ54" s="38">
        <f>BQ33</f>
        <v/>
      </c>
      <c r="BR54" s="31" t="inlineStr">
        <is>
          <t>见假设。</t>
        </is>
      </c>
    </row>
    <row r="55">
      <c r="A55" s="4" t="inlineStr">
        <is>
          <t>P&amp;L</t>
        </is>
      </c>
      <c r="B55" s="7" t="inlineStr">
        <is>
          <t>Research &amp; development</t>
        </is>
      </c>
      <c r="C55" s="4" t="inlineStr">
        <is>
          <t>$000</t>
        </is>
      </c>
      <c r="D55" s="36" t="n">
        <v>5850</v>
      </c>
      <c r="E55" s="36" t="n">
        <v>4827</v>
      </c>
      <c r="F55" s="36" t="n">
        <v>5897</v>
      </c>
      <c r="G55" s="36" t="n">
        <v>5834</v>
      </c>
      <c r="H55" s="36" t="n">
        <v>7135</v>
      </c>
      <c r="I55" s="36" t="n">
        <v>10328</v>
      </c>
      <c r="J55" s="36" t="n">
        <v>13913</v>
      </c>
      <c r="K55" s="36" t="n">
        <v>12081</v>
      </c>
      <c r="L55" s="36" t="n">
        <v>14543</v>
      </c>
      <c r="M55" s="36" t="n">
        <v>9049</v>
      </c>
      <c r="N55" s="37">
        <f>BF55+BG55+BH55+BI55</f>
        <v/>
      </c>
      <c r="O55" s="38">
        <f>BJ55+BK55+BL55+BM55</f>
        <v/>
      </c>
      <c r="P55" s="38">
        <f>BN55+BO55+BP55+BQ55</f>
        <v/>
      </c>
      <c r="R55" s="36" t="n">
        <v>1381</v>
      </c>
      <c r="S55" s="36" t="n">
        <v>1472</v>
      </c>
      <c r="T55" s="36" t="n">
        <v>1566</v>
      </c>
      <c r="U55" s="36" t="n">
        <v>1431</v>
      </c>
      <c r="V55" s="36" t="n">
        <v>1124</v>
      </c>
      <c r="W55" s="36" t="n">
        <v>1019</v>
      </c>
      <c r="X55" s="36" t="n">
        <v>1410</v>
      </c>
      <c r="Y55" s="36" t="n">
        <v>1274</v>
      </c>
      <c r="Z55" s="36" t="n">
        <v>1420</v>
      </c>
      <c r="AA55" s="36" t="n">
        <v>1500</v>
      </c>
      <c r="AB55" s="36" t="n">
        <v>1668</v>
      </c>
      <c r="AC55" s="36" t="n">
        <v>1309</v>
      </c>
      <c r="AD55" s="36" t="n">
        <v>1346</v>
      </c>
      <c r="AE55" s="36" t="n">
        <v>1399</v>
      </c>
      <c r="AF55" s="36" t="n">
        <v>1482</v>
      </c>
      <c r="AG55" s="36" t="n">
        <v>1607</v>
      </c>
      <c r="AH55" s="36" t="n">
        <v>1407</v>
      </c>
      <c r="AI55" s="36" t="n">
        <v>1543</v>
      </c>
      <c r="AJ55" s="36" t="n">
        <v>2023</v>
      </c>
      <c r="AK55" s="36" t="n">
        <v>2162</v>
      </c>
      <c r="AL55" s="36" t="n">
        <v>2405</v>
      </c>
      <c r="AM55" s="36" t="n">
        <v>2537</v>
      </c>
      <c r="AN55" s="36" t="n">
        <v>2629</v>
      </c>
      <c r="AO55" s="36" t="n">
        <v>2757</v>
      </c>
      <c r="AP55" s="36" t="n">
        <v>3159</v>
      </c>
      <c r="AQ55" s="36" t="n">
        <v>3453</v>
      </c>
      <c r="AR55" s="36" t="n">
        <v>3639</v>
      </c>
      <c r="AS55" s="36" t="n">
        <v>3662</v>
      </c>
      <c r="AT55" s="36" t="n">
        <v>3595</v>
      </c>
      <c r="AU55" s="36" t="n">
        <v>2740</v>
      </c>
      <c r="AV55" s="36" t="n">
        <v>2926</v>
      </c>
      <c r="AW55" s="36" t="n">
        <v>2820</v>
      </c>
      <c r="AX55" s="36" t="n">
        <v>3214</v>
      </c>
      <c r="AY55" s="36" t="n">
        <v>3758</v>
      </c>
      <c r="AZ55" s="36" t="n">
        <v>3438</v>
      </c>
      <c r="BA55" s="36" t="n">
        <v>4133</v>
      </c>
      <c r="BB55" s="36" t="n">
        <v>3118</v>
      </c>
      <c r="BC55" s="36" t="n">
        <v>2525</v>
      </c>
      <c r="BD55" s="36" t="n">
        <v>1013</v>
      </c>
      <c r="BE55" s="36" t="n">
        <v>2393</v>
      </c>
      <c r="BF55" s="36" t="n">
        <v>3012</v>
      </c>
      <c r="BG55" s="36" t="n">
        <v>3651</v>
      </c>
      <c r="BH55" s="38">
        <f>BH34</f>
        <v/>
      </c>
      <c r="BI55" s="38">
        <f>BI34</f>
        <v/>
      </c>
      <c r="BJ55" s="38">
        <f>BJ34</f>
        <v/>
      </c>
      <c r="BK55" s="38">
        <f>BK34</f>
        <v/>
      </c>
      <c r="BL55" s="38">
        <f>BL34</f>
        <v/>
      </c>
      <c r="BM55" s="38">
        <f>BM34</f>
        <v/>
      </c>
      <c r="BN55" s="38">
        <f>BN34</f>
        <v/>
      </c>
      <c r="BO55" s="38">
        <f>BO34</f>
        <v/>
      </c>
      <c r="BP55" s="38">
        <f>BP34</f>
        <v/>
      </c>
      <c r="BQ55" s="38">
        <f>BQ34</f>
        <v/>
      </c>
      <c r="BR55" s="31" t="inlineStr">
        <is>
          <t>见假设。</t>
        </is>
      </c>
    </row>
    <row r="56">
      <c r="A56" s="4" t="inlineStr">
        <is>
          <t>P&amp;L</t>
        </is>
      </c>
      <c r="B56" s="7" t="inlineStr">
        <is>
          <t>Total operating expenses</t>
        </is>
      </c>
      <c r="C56" s="4" t="inlineStr">
        <is>
          <t>$000</t>
        </is>
      </c>
      <c r="D56" s="43">
        <f>D54+D55</f>
        <v/>
      </c>
      <c r="E56" s="43">
        <f>E54+E55</f>
        <v/>
      </c>
      <c r="F56" s="43">
        <f>F54+F55</f>
        <v/>
      </c>
      <c r="G56" s="43">
        <f>G54+G55</f>
        <v/>
      </c>
      <c r="H56" s="43">
        <f>H54+H55</f>
        <v/>
      </c>
      <c r="I56" s="43">
        <f>I54+I55</f>
        <v/>
      </c>
      <c r="J56" s="43">
        <f>J54+J55</f>
        <v/>
      </c>
      <c r="K56" s="43">
        <f>K54+K55</f>
        <v/>
      </c>
      <c r="L56" s="43">
        <f>L54+L55</f>
        <v/>
      </c>
      <c r="M56" s="43">
        <f>M54+M55</f>
        <v/>
      </c>
      <c r="N56" s="37">
        <f>N54+N55</f>
        <v/>
      </c>
      <c r="O56" s="38">
        <f>O54+O55</f>
        <v/>
      </c>
      <c r="P56" s="38">
        <f>P54+P55</f>
        <v/>
      </c>
      <c r="R56" s="43">
        <f>R54+R55</f>
        <v/>
      </c>
      <c r="S56" s="43">
        <f>S54+S55</f>
        <v/>
      </c>
      <c r="T56" s="43">
        <f>T54+T55</f>
        <v/>
      </c>
      <c r="U56" s="43">
        <f>U54+U55</f>
        <v/>
      </c>
      <c r="V56" s="43">
        <f>V54+V55</f>
        <v/>
      </c>
      <c r="W56" s="43">
        <f>W54+W55</f>
        <v/>
      </c>
      <c r="X56" s="43">
        <f>X54+X55</f>
        <v/>
      </c>
      <c r="Y56" s="43">
        <f>Y54+Y55</f>
        <v/>
      </c>
      <c r="Z56" s="43">
        <f>Z54+Z55</f>
        <v/>
      </c>
      <c r="AA56" s="43">
        <f>AA54+AA55</f>
        <v/>
      </c>
      <c r="AB56" s="43">
        <f>AB54+AB55</f>
        <v/>
      </c>
      <c r="AC56" s="43">
        <f>AC54+AC55</f>
        <v/>
      </c>
      <c r="AD56" s="43">
        <f>AD54+AD55</f>
        <v/>
      </c>
      <c r="AE56" s="43">
        <f>AE54+AE55</f>
        <v/>
      </c>
      <c r="AF56" s="43">
        <f>AF54+AF55</f>
        <v/>
      </c>
      <c r="AG56" s="43">
        <f>AG54+AG55</f>
        <v/>
      </c>
      <c r="AH56" s="43">
        <f>AH54+AH55</f>
        <v/>
      </c>
      <c r="AI56" s="43">
        <f>AI54+AI55</f>
        <v/>
      </c>
      <c r="AJ56" s="43">
        <f>AJ54+AJ55</f>
        <v/>
      </c>
      <c r="AK56" s="43">
        <f>AK54+AK55</f>
        <v/>
      </c>
      <c r="AL56" s="43">
        <f>AL54+AL55</f>
        <v/>
      </c>
      <c r="AM56" s="43">
        <f>AM54+AM55</f>
        <v/>
      </c>
      <c r="AN56" s="43">
        <f>AN54+AN55</f>
        <v/>
      </c>
      <c r="AO56" s="43">
        <f>AO54+AO55</f>
        <v/>
      </c>
      <c r="AP56" s="43">
        <f>AP54+AP55</f>
        <v/>
      </c>
      <c r="AQ56" s="43">
        <f>AQ54+AQ55</f>
        <v/>
      </c>
      <c r="AR56" s="43">
        <f>AR54+AR55</f>
        <v/>
      </c>
      <c r="AS56" s="43">
        <f>AS54+AS55</f>
        <v/>
      </c>
      <c r="AT56" s="43">
        <f>AT54+AT55</f>
        <v/>
      </c>
      <c r="AU56" s="43">
        <f>AU54+AU55</f>
        <v/>
      </c>
      <c r="AV56" s="43">
        <f>AV54+AV55</f>
        <v/>
      </c>
      <c r="AW56" s="43">
        <f>AW54+AW55</f>
        <v/>
      </c>
      <c r="AX56" s="43">
        <f>AX54+AX55</f>
        <v/>
      </c>
      <c r="AY56" s="43">
        <f>AY54+AY55</f>
        <v/>
      </c>
      <c r="AZ56" s="43">
        <f>AZ54+AZ55</f>
        <v/>
      </c>
      <c r="BA56" s="43">
        <f>BA54+BA55</f>
        <v/>
      </c>
      <c r="BB56" s="43">
        <f>BB54+BB55</f>
        <v/>
      </c>
      <c r="BC56" s="43">
        <f>BC54+BC55</f>
        <v/>
      </c>
      <c r="BD56" s="43">
        <f>BD54+BD55</f>
        <v/>
      </c>
      <c r="BE56" s="43">
        <f>BE54+BE55</f>
        <v/>
      </c>
      <c r="BF56" s="43">
        <f>BF54+BF55</f>
        <v/>
      </c>
      <c r="BG56" s="43">
        <f>BG54+BG55</f>
        <v/>
      </c>
      <c r="BH56" s="38">
        <f>BH54+BH55</f>
        <v/>
      </c>
      <c r="BI56" s="38">
        <f>BI54+BI55</f>
        <v/>
      </c>
      <c r="BJ56" s="38">
        <f>BJ54+BJ55</f>
        <v/>
      </c>
      <c r="BK56" s="38">
        <f>BK54+BK55</f>
        <v/>
      </c>
      <c r="BL56" s="38">
        <f>BL54+BL55</f>
        <v/>
      </c>
      <c r="BM56" s="38">
        <f>BM54+BM55</f>
        <v/>
      </c>
      <c r="BN56" s="38">
        <f>BN54+BN55</f>
        <v/>
      </c>
      <c r="BO56" s="38">
        <f>BO54+BO55</f>
        <v/>
      </c>
      <c r="BP56" s="38">
        <f>BP54+BP55</f>
        <v/>
      </c>
      <c r="BQ56" s="38">
        <f>BQ54+BQ55</f>
        <v/>
      </c>
      <c r="BR56" s="31" t="inlineStr">
        <is>
          <t>SG&amp;A+R&amp;D。</t>
        </is>
      </c>
    </row>
    <row r="57">
      <c r="A57" s="4" t="inlineStr">
        <is>
          <t>P&amp;L</t>
        </is>
      </c>
      <c r="B57" s="5" t="inlineStr">
        <is>
          <t>Operating income</t>
        </is>
      </c>
      <c r="C57" s="4" t="inlineStr">
        <is>
          <t>$000</t>
        </is>
      </c>
      <c r="D57" s="45">
        <f>D52-D56</f>
        <v/>
      </c>
      <c r="E57" s="45">
        <f>E52-E56</f>
        <v/>
      </c>
      <c r="F57" s="45">
        <f>F52-F56</f>
        <v/>
      </c>
      <c r="G57" s="45">
        <f>G52-G56</f>
        <v/>
      </c>
      <c r="H57" s="45">
        <f>H52-H56</f>
        <v/>
      </c>
      <c r="I57" s="45">
        <f>I52-I56</f>
        <v/>
      </c>
      <c r="J57" s="45">
        <f>J52-J56</f>
        <v/>
      </c>
      <c r="K57" s="45">
        <f>K52-K56</f>
        <v/>
      </c>
      <c r="L57" s="45">
        <f>L52-L56</f>
        <v/>
      </c>
      <c r="M57" s="45">
        <f>M52-M56</f>
        <v/>
      </c>
      <c r="N57" s="45">
        <f>N52-N56</f>
        <v/>
      </c>
      <c r="O57" s="45">
        <f>O52-O56</f>
        <v/>
      </c>
      <c r="P57" s="45">
        <f>P52-P56</f>
        <v/>
      </c>
      <c r="R57" s="45">
        <f>R52-R56</f>
        <v/>
      </c>
      <c r="S57" s="45">
        <f>S52-S56</f>
        <v/>
      </c>
      <c r="T57" s="45">
        <f>T52-T56</f>
        <v/>
      </c>
      <c r="U57" s="45">
        <f>U52-U56</f>
        <v/>
      </c>
      <c r="V57" s="45">
        <f>V52-V56</f>
        <v/>
      </c>
      <c r="W57" s="45">
        <f>W52-W56</f>
        <v/>
      </c>
      <c r="X57" s="45">
        <f>X52-X56</f>
        <v/>
      </c>
      <c r="Y57" s="45">
        <f>Y52-Y56</f>
        <v/>
      </c>
      <c r="Z57" s="45">
        <f>Z52-Z56</f>
        <v/>
      </c>
      <c r="AA57" s="45">
        <f>AA52-AA56</f>
        <v/>
      </c>
      <c r="AB57" s="45">
        <f>AB52-AB56</f>
        <v/>
      </c>
      <c r="AC57" s="45">
        <f>AC52-AC56</f>
        <v/>
      </c>
      <c r="AD57" s="45">
        <f>AD52-AD56</f>
        <v/>
      </c>
      <c r="AE57" s="45">
        <f>AE52-AE56</f>
        <v/>
      </c>
      <c r="AF57" s="45">
        <f>AF52-AF56</f>
        <v/>
      </c>
      <c r="AG57" s="45">
        <f>AG52-AG56</f>
        <v/>
      </c>
      <c r="AH57" s="45">
        <f>AH52-AH56</f>
        <v/>
      </c>
      <c r="AI57" s="45">
        <f>AI52-AI56</f>
        <v/>
      </c>
      <c r="AJ57" s="45">
        <f>AJ52-AJ56</f>
        <v/>
      </c>
      <c r="AK57" s="45">
        <f>AK52-AK56</f>
        <v/>
      </c>
      <c r="AL57" s="45">
        <f>AL52-AL56</f>
        <v/>
      </c>
      <c r="AM57" s="45">
        <f>AM52-AM56</f>
        <v/>
      </c>
      <c r="AN57" s="45">
        <f>AN52-AN56</f>
        <v/>
      </c>
      <c r="AO57" s="45">
        <f>AO52-AO56</f>
        <v/>
      </c>
      <c r="AP57" s="45">
        <f>AP52-AP56</f>
        <v/>
      </c>
      <c r="AQ57" s="45">
        <f>AQ52-AQ56</f>
        <v/>
      </c>
      <c r="AR57" s="45">
        <f>AR52-AR56</f>
        <v/>
      </c>
      <c r="AS57" s="45">
        <f>AS52-AS56</f>
        <v/>
      </c>
      <c r="AT57" s="45">
        <f>AT52-AT56</f>
        <v/>
      </c>
      <c r="AU57" s="45">
        <f>AU52-AU56</f>
        <v/>
      </c>
      <c r="AV57" s="45">
        <f>AV52-AV56</f>
        <v/>
      </c>
      <c r="AW57" s="45">
        <f>AW52-AW56</f>
        <v/>
      </c>
      <c r="AX57" s="45">
        <f>AX52-AX56</f>
        <v/>
      </c>
      <c r="AY57" s="45">
        <f>AY52-AY56</f>
        <v/>
      </c>
      <c r="AZ57" s="45">
        <f>AZ52-AZ56</f>
        <v/>
      </c>
      <c r="BA57" s="45">
        <f>BA52-BA56</f>
        <v/>
      </c>
      <c r="BB57" s="45">
        <f>BB52-BB56</f>
        <v/>
      </c>
      <c r="BC57" s="45">
        <f>BC52-BC56</f>
        <v/>
      </c>
      <c r="BD57" s="45">
        <f>BD52-BD56</f>
        <v/>
      </c>
      <c r="BE57" s="45">
        <f>BE52-BE56</f>
        <v/>
      </c>
      <c r="BF57" s="45">
        <f>BF52-BF56</f>
        <v/>
      </c>
      <c r="BG57" s="45">
        <f>BG52-BG56</f>
        <v/>
      </c>
      <c r="BH57" s="45">
        <f>BH52-BH56</f>
        <v/>
      </c>
      <c r="BI57" s="45">
        <f>BI52-BI56</f>
        <v/>
      </c>
      <c r="BJ57" s="45">
        <f>BJ52-BJ56</f>
        <v/>
      </c>
      <c r="BK57" s="45">
        <f>BK52-BK56</f>
        <v/>
      </c>
      <c r="BL57" s="45">
        <f>BL52-BL56</f>
        <v/>
      </c>
      <c r="BM57" s="45">
        <f>BM52-BM56</f>
        <v/>
      </c>
      <c r="BN57" s="45">
        <f>BN52-BN56</f>
        <v/>
      </c>
      <c r="BO57" s="45">
        <f>BO52-BO56</f>
        <v/>
      </c>
      <c r="BP57" s="45">
        <f>BP52-BP56</f>
        <v/>
      </c>
      <c r="BQ57" s="45">
        <f>BQ52-BQ56</f>
        <v/>
      </c>
      <c r="BR57" s="31" t="inlineStr">
        <is>
          <t>营业利润=毛利−营业费用。</t>
        </is>
      </c>
    </row>
    <row r="58">
      <c r="A58" s="4" t="inlineStr">
        <is>
          <t>P&amp;L</t>
        </is>
      </c>
      <c r="B58" s="7" t="inlineStr">
        <is>
          <t>Operating margin</t>
        </is>
      </c>
      <c r="C58" s="4" t="inlineStr">
        <is>
          <t>%</t>
        </is>
      </c>
      <c r="D58" s="40">
        <f>IF(D50=0,0,D57/D50)</f>
        <v/>
      </c>
      <c r="E58" s="40">
        <f>IF(E50=0,0,E57/E50)</f>
        <v/>
      </c>
      <c r="F58" s="40">
        <f>IF(F50=0,0,F57/F50)</f>
        <v/>
      </c>
      <c r="G58" s="40">
        <f>IF(G50=0,0,G57/G50)</f>
        <v/>
      </c>
      <c r="H58" s="40">
        <f>IF(H50=0,0,H57/H50)</f>
        <v/>
      </c>
      <c r="I58" s="40">
        <f>IF(I50=0,0,I57/I50)</f>
        <v/>
      </c>
      <c r="J58" s="40">
        <f>IF(J50=0,0,J57/J50)</f>
        <v/>
      </c>
      <c r="K58" s="40">
        <f>IF(K50=0,0,K57/K50)</f>
        <v/>
      </c>
      <c r="L58" s="40">
        <f>IF(L50=0,0,L57/L50)</f>
        <v/>
      </c>
      <c r="M58" s="40">
        <f>IF(M50=0,0,M57/M50)</f>
        <v/>
      </c>
      <c r="N58" s="41">
        <f>IF(N50=0,0,N57/N50)</f>
        <v/>
      </c>
      <c r="O58" s="42">
        <f>IF(O50=0,0,O57/O50)</f>
        <v/>
      </c>
      <c r="P58" s="42">
        <f>IF(P50=0,0,P57/P50)</f>
        <v/>
      </c>
      <c r="R58" s="40">
        <f>IF(R50=0,0,R57/R50)</f>
        <v/>
      </c>
      <c r="S58" s="40">
        <f>IF(S50=0,0,S57/S50)</f>
        <v/>
      </c>
      <c r="T58" s="40">
        <f>IF(T50=0,0,T57/T50)</f>
        <v/>
      </c>
      <c r="U58" s="40">
        <f>IF(U50=0,0,U57/U50)</f>
        <v/>
      </c>
      <c r="V58" s="40">
        <f>IF(V50=0,0,V57/V50)</f>
        <v/>
      </c>
      <c r="W58" s="40">
        <f>IF(W50=0,0,W57/W50)</f>
        <v/>
      </c>
      <c r="X58" s="40">
        <f>IF(X50=0,0,X57/X50)</f>
        <v/>
      </c>
      <c r="Y58" s="40">
        <f>IF(Y50=0,0,Y57/Y50)</f>
        <v/>
      </c>
      <c r="Z58" s="40">
        <f>IF(Z50=0,0,Z57/Z50)</f>
        <v/>
      </c>
      <c r="AA58" s="40">
        <f>IF(AA50=0,0,AA57/AA50)</f>
        <v/>
      </c>
      <c r="AB58" s="40">
        <f>IF(AB50=0,0,AB57/AB50)</f>
        <v/>
      </c>
      <c r="AC58" s="40">
        <f>IF(AC50=0,0,AC57/AC50)</f>
        <v/>
      </c>
      <c r="AD58" s="40">
        <f>IF(AD50=0,0,AD57/AD50)</f>
        <v/>
      </c>
      <c r="AE58" s="40">
        <f>IF(AE50=0,0,AE57/AE50)</f>
        <v/>
      </c>
      <c r="AF58" s="40">
        <f>IF(AF50=0,0,AF57/AF50)</f>
        <v/>
      </c>
      <c r="AG58" s="40">
        <f>IF(AG50=0,0,AG57/AG50)</f>
        <v/>
      </c>
      <c r="AH58" s="40">
        <f>IF(AH50=0,0,AH57/AH50)</f>
        <v/>
      </c>
      <c r="AI58" s="40">
        <f>IF(AI50=0,0,AI57/AI50)</f>
        <v/>
      </c>
      <c r="AJ58" s="40">
        <f>IF(AJ50=0,0,AJ57/AJ50)</f>
        <v/>
      </c>
      <c r="AK58" s="40">
        <f>IF(AK50=0,0,AK57/AK50)</f>
        <v/>
      </c>
      <c r="AL58" s="40">
        <f>IF(AL50=0,0,AL57/AL50)</f>
        <v/>
      </c>
      <c r="AM58" s="40">
        <f>IF(AM50=0,0,AM57/AM50)</f>
        <v/>
      </c>
      <c r="AN58" s="40">
        <f>IF(AN50=0,0,AN57/AN50)</f>
        <v/>
      </c>
      <c r="AO58" s="40">
        <f>IF(AO50=0,0,AO57/AO50)</f>
        <v/>
      </c>
      <c r="AP58" s="40">
        <f>IF(AP50=0,0,AP57/AP50)</f>
        <v/>
      </c>
      <c r="AQ58" s="40">
        <f>IF(AQ50=0,0,AQ57/AQ50)</f>
        <v/>
      </c>
      <c r="AR58" s="40">
        <f>IF(AR50=0,0,AR57/AR50)</f>
        <v/>
      </c>
      <c r="AS58" s="40">
        <f>IF(AS50=0,0,AS57/AS50)</f>
        <v/>
      </c>
      <c r="AT58" s="40">
        <f>IF(AT50=0,0,AT57/AT50)</f>
        <v/>
      </c>
      <c r="AU58" s="40">
        <f>IF(AU50=0,0,AU57/AU50)</f>
        <v/>
      </c>
      <c r="AV58" s="40">
        <f>IF(AV50=0,0,AV57/AV50)</f>
        <v/>
      </c>
      <c r="AW58" s="40">
        <f>IF(AW50=0,0,AW57/AW50)</f>
        <v/>
      </c>
      <c r="AX58" s="40">
        <f>IF(AX50=0,0,AX57/AX50)</f>
        <v/>
      </c>
      <c r="AY58" s="40">
        <f>IF(AY50=0,0,AY57/AY50)</f>
        <v/>
      </c>
      <c r="AZ58" s="40">
        <f>IF(AZ50=0,0,AZ57/AZ50)</f>
        <v/>
      </c>
      <c r="BA58" s="40">
        <f>IF(BA50=0,0,BA57/BA50)</f>
        <v/>
      </c>
      <c r="BB58" s="40">
        <f>IF(BB50=0,0,BB57/BB50)</f>
        <v/>
      </c>
      <c r="BC58" s="40">
        <f>IF(BC50=0,0,BC57/BC50)</f>
        <v/>
      </c>
      <c r="BD58" s="40">
        <f>IF(BD50=0,0,BD57/BD50)</f>
        <v/>
      </c>
      <c r="BE58" s="40">
        <f>IF(BE50=0,0,BE57/BE50)</f>
        <v/>
      </c>
      <c r="BF58" s="40">
        <f>IF(BF50=0,0,BF57/BF50)</f>
        <v/>
      </c>
      <c r="BG58" s="40">
        <f>IF(BG50=0,0,BG57/BG50)</f>
        <v/>
      </c>
      <c r="BH58" s="42">
        <f>IF(BH50=0,0,BH57/BH50)</f>
        <v/>
      </c>
      <c r="BI58" s="42">
        <f>IF(BI50=0,0,BI57/BI50)</f>
        <v/>
      </c>
      <c r="BJ58" s="42">
        <f>IF(BJ50=0,0,BJ57/BJ50)</f>
        <v/>
      </c>
      <c r="BK58" s="42">
        <f>IF(BK50=0,0,BK57/BK50)</f>
        <v/>
      </c>
      <c r="BL58" s="42">
        <f>IF(BL50=0,0,BL57/BL50)</f>
        <v/>
      </c>
      <c r="BM58" s="42">
        <f>IF(BM50=0,0,BM57/BM50)</f>
        <v/>
      </c>
      <c r="BN58" s="42">
        <f>IF(BN50=0,0,BN57/BN50)</f>
        <v/>
      </c>
      <c r="BO58" s="42">
        <f>IF(BO50=0,0,BO57/BO50)</f>
        <v/>
      </c>
      <c r="BP58" s="42">
        <f>IF(BP50=0,0,BP57/BP50)</f>
        <v/>
      </c>
      <c r="BQ58" s="42">
        <f>IF(BQ50=0,0,BQ57/BQ50)</f>
        <v/>
      </c>
      <c r="BR58" s="31" t="inlineStr">
        <is>
          <t>营业利润率。</t>
        </is>
      </c>
    </row>
    <row r="59">
      <c r="A59" s="4" t="inlineStr">
        <is>
          <t>P&amp;L</t>
        </is>
      </c>
      <c r="B59" s="7" t="inlineStr">
        <is>
          <t>Interest income / (expense), net</t>
        </is>
      </c>
      <c r="C59" s="4" t="inlineStr">
        <is>
          <t>$000</t>
        </is>
      </c>
      <c r="D59" s="36" t="n">
        <v>409</v>
      </c>
      <c r="E59" s="36" t="n">
        <v>0</v>
      </c>
      <c r="F59" s="36" t="n">
        <v>0</v>
      </c>
      <c r="G59" s="36" t="n">
        <v>0</v>
      </c>
      <c r="H59" s="36" t="n">
        <v>0</v>
      </c>
      <c r="I59" s="36" t="n">
        <v>-210</v>
      </c>
      <c r="J59" s="36" t="n">
        <v>-1070</v>
      </c>
      <c r="K59" s="36" t="n">
        <v>-1527</v>
      </c>
      <c r="L59" s="36" t="n">
        <v>-1340</v>
      </c>
      <c r="M59" s="36" t="n">
        <v>-1257</v>
      </c>
      <c r="N59" s="37">
        <f>BF59+BG59+BH59+BI59</f>
        <v/>
      </c>
      <c r="O59" s="38">
        <f>BJ59+BK59+BL59+BM59</f>
        <v/>
      </c>
      <c r="P59" s="38">
        <f>BN59+BO59+BP59+BQ59</f>
        <v/>
      </c>
      <c r="R59" s="36" t="n">
        <v>0</v>
      </c>
      <c r="S59" s="36" t="n">
        <v>0</v>
      </c>
      <c r="T59" s="36" t="n">
        <v>0</v>
      </c>
      <c r="U59" s="36" t="n">
        <v>0</v>
      </c>
      <c r="V59" s="36" t="n">
        <v>0</v>
      </c>
      <c r="W59" s="36" t="n">
        <v>0</v>
      </c>
      <c r="X59" s="36" t="n">
        <v>0</v>
      </c>
      <c r="Y59" s="36" t="n">
        <v>0</v>
      </c>
      <c r="Z59" s="36" t="n">
        <v>0</v>
      </c>
      <c r="AA59" s="36" t="n">
        <v>0</v>
      </c>
      <c r="AB59" s="36" t="n">
        <v>0</v>
      </c>
      <c r="AC59" s="36" t="n">
        <v>0</v>
      </c>
      <c r="AD59" s="36" t="n">
        <v>0</v>
      </c>
      <c r="AE59" s="36" t="n">
        <v>0</v>
      </c>
      <c r="AF59" s="36" t="n">
        <v>0</v>
      </c>
      <c r="AG59" s="36" t="n">
        <v>0</v>
      </c>
      <c r="AH59" s="36" t="n">
        <v>0</v>
      </c>
      <c r="AI59" s="36" t="n">
        <v>0</v>
      </c>
      <c r="AJ59" s="36" t="n">
        <v>0</v>
      </c>
      <c r="AK59" s="36" t="n">
        <v>0</v>
      </c>
      <c r="AL59" s="36" t="n">
        <v>0</v>
      </c>
      <c r="AM59" s="36" t="n">
        <v>0</v>
      </c>
      <c r="AN59" s="36" t="n">
        <v>0</v>
      </c>
      <c r="AO59" s="36" t="n">
        <v>0</v>
      </c>
      <c r="AP59" s="36" t="n">
        <v>0</v>
      </c>
      <c r="AQ59" s="36" t="n">
        <v>0</v>
      </c>
      <c r="AR59" s="36" t="n">
        <v>0</v>
      </c>
      <c r="AS59" s="36" t="n">
        <v>0</v>
      </c>
      <c r="AT59" s="36" t="n">
        <v>0</v>
      </c>
      <c r="AU59" s="36" t="n">
        <v>0</v>
      </c>
      <c r="AV59" s="36" t="n">
        <v>0</v>
      </c>
      <c r="AW59" s="36" t="n">
        <v>0</v>
      </c>
      <c r="AX59" s="36" t="n">
        <v>0</v>
      </c>
      <c r="AY59" s="36" t="n">
        <v>0</v>
      </c>
      <c r="AZ59" s="36" t="n">
        <v>0</v>
      </c>
      <c r="BA59" s="36" t="n">
        <v>0</v>
      </c>
      <c r="BB59" s="36" t="n">
        <v>0</v>
      </c>
      <c r="BC59" s="36" t="n">
        <v>0</v>
      </c>
      <c r="BD59" s="36" t="n">
        <v>0</v>
      </c>
      <c r="BE59" s="36" t="n">
        <v>0</v>
      </c>
      <c r="BF59" s="36" t="n">
        <v>101</v>
      </c>
      <c r="BG59" s="36" t="n">
        <v>4728</v>
      </c>
      <c r="BH59" s="38">
        <f>BG73*BH37+BG79*BH37*0.85-(BG82+BG85)*BH38</f>
        <v/>
      </c>
      <c r="BI59" s="38">
        <f>BH73*BI37+BH79*BI37*0.85-(BH82+BH85)*BI38</f>
        <v/>
      </c>
      <c r="BJ59" s="38">
        <f>BI73*BJ37+BI79*BJ37*0.85-(BI82+BI85)*BJ38</f>
        <v/>
      </c>
      <c r="BK59" s="38">
        <f>BJ73*BK37+BJ79*BK37*0.85-(BJ82+BJ85)*BK38</f>
        <v/>
      </c>
      <c r="BL59" s="38">
        <f>BK73*BL37+BK79*BL37*0.85-(BK82+BK85)*BL38</f>
        <v/>
      </c>
      <c r="BM59" s="38">
        <f>BL73*BM37+BL79*BM37*0.85-(BL82+BL85)*BM38</f>
        <v/>
      </c>
      <c r="BN59" s="38">
        <f>BM73*BN37+BM79*BN37*0.85-(BM82+BM85)*BN38</f>
        <v/>
      </c>
      <c r="BO59" s="38">
        <f>BN73*BO37+BN79*BO37*0.85-(BN82+BN85)*BO38</f>
        <v/>
      </c>
      <c r="BP59" s="38">
        <f>BO73*BP37+BO79*BP37*0.85-(BO82+BO85)*BP38</f>
        <v/>
      </c>
      <c r="BQ59" s="38">
        <f>BP73*BQ37+BP79*BQ37*0.85-(BP82+BP85)*BQ38</f>
        <v/>
      </c>
      <c r="BR59" s="31" t="inlineStr">
        <is>
          <t>历史硬编码或残差；预测=期初(现金+其他非流动资产)×收益率 − 期初债务×债务成本。用期初余额避免循环引用。</t>
        </is>
      </c>
    </row>
    <row r="60">
      <c r="A60" s="4" t="inlineStr">
        <is>
          <t>P&amp;L</t>
        </is>
      </c>
      <c r="B60" s="7" t="inlineStr">
        <is>
          <t>Equity in income of unconsolidated JVs</t>
        </is>
      </c>
      <c r="C60" s="4" t="inlineStr">
        <is>
          <t>$000</t>
        </is>
      </c>
      <c r="D60" s="36" t="n">
        <v>-1995</v>
      </c>
      <c r="E60" s="36" t="n">
        <v>0</v>
      </c>
      <c r="F60" s="36" t="n">
        <v>0</v>
      </c>
      <c r="G60" s="36" t="n">
        <v>0</v>
      </c>
      <c r="H60" s="36" t="n">
        <v>4410</v>
      </c>
      <c r="I60" s="36" t="n">
        <v>4410</v>
      </c>
      <c r="J60" s="36" t="n">
        <v>5960</v>
      </c>
      <c r="K60" s="36" t="n">
        <v>1884</v>
      </c>
      <c r="L60" s="36" t="n">
        <v>3439</v>
      </c>
      <c r="M60" s="36" t="n">
        <v>765</v>
      </c>
      <c r="N60" s="37">
        <f>BF60+BG60+BH60+BI60</f>
        <v/>
      </c>
      <c r="O60" s="38">
        <f>BJ60+BK60+BL60+BM60</f>
        <v/>
      </c>
      <c r="P60" s="38">
        <f>BN60+BO60+BP60+BQ60</f>
        <v/>
      </c>
      <c r="R60" s="36" t="n">
        <v>0</v>
      </c>
      <c r="S60" s="36" t="n">
        <v>0</v>
      </c>
      <c r="T60" s="36" t="n">
        <v>0</v>
      </c>
      <c r="U60" s="36" t="n">
        <v>0</v>
      </c>
      <c r="V60" s="36" t="n">
        <v>0</v>
      </c>
      <c r="W60" s="36" t="n">
        <v>0</v>
      </c>
      <c r="X60" s="36" t="n">
        <v>0</v>
      </c>
      <c r="Y60" s="36" t="n">
        <v>0</v>
      </c>
      <c r="Z60" s="36" t="n">
        <v>0</v>
      </c>
      <c r="AA60" s="36" t="n">
        <v>0</v>
      </c>
      <c r="AB60" s="36" t="n">
        <v>0</v>
      </c>
      <c r="AC60" s="36" t="n">
        <v>0</v>
      </c>
      <c r="AD60" s="36" t="n">
        <v>0</v>
      </c>
      <c r="AE60" s="36" t="n">
        <v>0</v>
      </c>
      <c r="AF60" s="36" t="n">
        <v>0</v>
      </c>
      <c r="AG60" s="36" t="n">
        <v>0</v>
      </c>
      <c r="AH60" s="36" t="n">
        <v>0</v>
      </c>
      <c r="AI60" s="36" t="n">
        <v>0</v>
      </c>
      <c r="AJ60" s="36" t="n">
        <v>0</v>
      </c>
      <c r="AK60" s="36" t="n">
        <v>0</v>
      </c>
      <c r="AL60" s="36" t="n">
        <v>0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0</v>
      </c>
      <c r="AT60" s="36" t="n">
        <v>0</v>
      </c>
      <c r="AU60" s="36" t="n">
        <v>0</v>
      </c>
      <c r="AV60" s="36" t="n">
        <v>0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6" t="n">
        <v>0</v>
      </c>
      <c r="BC60" s="36" t="n">
        <v>0</v>
      </c>
      <c r="BD60" s="36" t="n">
        <v>0</v>
      </c>
      <c r="BE60" s="36" t="n">
        <v>0</v>
      </c>
      <c r="BF60" s="36" t="n">
        <v>353</v>
      </c>
      <c r="BG60" s="36" t="n">
        <v>417</v>
      </c>
      <c r="BH60" s="38">
        <f>BH39</f>
        <v/>
      </c>
      <c r="BI60" s="38">
        <f>BI39</f>
        <v/>
      </c>
      <c r="BJ60" s="38">
        <f>BJ39</f>
        <v/>
      </c>
      <c r="BK60" s="38">
        <f>BK39</f>
        <v/>
      </c>
      <c r="BL60" s="38">
        <f>BL39</f>
        <v/>
      </c>
      <c r="BM60" s="38">
        <f>BM39</f>
        <v/>
      </c>
      <c r="BN60" s="38">
        <f>BN39</f>
        <v/>
      </c>
      <c r="BO60" s="38">
        <f>BO39</f>
        <v/>
      </c>
      <c r="BP60" s="38">
        <f>BP39</f>
        <v/>
      </c>
      <c r="BQ60" s="38">
        <f>BQ39</f>
        <v/>
      </c>
      <c r="BR60" s="31" t="inlineStr">
        <is>
          <t>权益法收益。</t>
        </is>
      </c>
    </row>
    <row r="61">
      <c r="A61" s="4" t="inlineStr">
        <is>
          <t>P&amp;L</t>
        </is>
      </c>
      <c r="B61" s="7" t="inlineStr">
        <is>
          <t>Other income / (expense), net</t>
        </is>
      </c>
      <c r="C61" s="4" t="inlineStr">
        <is>
          <t>$000</t>
        </is>
      </c>
      <c r="D61" s="43">
        <f>D62-D57-D59-D60</f>
        <v/>
      </c>
      <c r="E61" s="43">
        <f>E62-E57-E59-E60</f>
        <v/>
      </c>
      <c r="F61" s="43">
        <f>F62-F57-F59-F60</f>
        <v/>
      </c>
      <c r="G61" s="43">
        <f>G62-G57-G59-G60</f>
        <v/>
      </c>
      <c r="H61" s="43">
        <f>H62-H57-H59-H60</f>
        <v/>
      </c>
      <c r="I61" s="43">
        <f>I62-I57-I59-I60</f>
        <v/>
      </c>
      <c r="J61" s="43">
        <f>J62-J57-J59-J60</f>
        <v/>
      </c>
      <c r="K61" s="43">
        <f>K62-K57-K59-K60</f>
        <v/>
      </c>
      <c r="L61" s="43">
        <f>L62-L57-L59-L60</f>
        <v/>
      </c>
      <c r="M61" s="43">
        <f>M62-M57-M59-M60</f>
        <v/>
      </c>
      <c r="N61" s="37">
        <f>BF61+BG61+BH61+BI61</f>
        <v/>
      </c>
      <c r="O61" s="38">
        <f>BJ61+BK61+BL61+BM61</f>
        <v/>
      </c>
      <c r="P61" s="38">
        <f>BN61+BO61+BP61+BQ61</f>
        <v/>
      </c>
      <c r="R61" s="43">
        <f>R62-R57-R59-R60</f>
        <v/>
      </c>
      <c r="S61" s="43">
        <f>S62-S57-S59-S60</f>
        <v/>
      </c>
      <c r="T61" s="43">
        <f>T62-T57-T59-T60</f>
        <v/>
      </c>
      <c r="U61" s="43">
        <f>U62-U57-U59-U60</f>
        <v/>
      </c>
      <c r="V61" s="43">
        <f>V62-V57-V59-V60</f>
        <v/>
      </c>
      <c r="W61" s="43">
        <f>W62-W57-W59-W60</f>
        <v/>
      </c>
      <c r="X61" s="43">
        <f>X62-X57-X59-X60</f>
        <v/>
      </c>
      <c r="Y61" s="43">
        <f>Y62-Y57-Y59-Y60</f>
        <v/>
      </c>
      <c r="Z61" s="43">
        <f>Z62-Z57-Z59-Z60</f>
        <v/>
      </c>
      <c r="AA61" s="43">
        <f>AA62-AA57-AA59-AA60</f>
        <v/>
      </c>
      <c r="AB61" s="43">
        <f>AB62-AB57-AB59-AB60</f>
        <v/>
      </c>
      <c r="AC61" s="43">
        <f>AC62-AC57-AC59-AC60</f>
        <v/>
      </c>
      <c r="AD61" s="43">
        <f>AD62-AD57-AD59-AD60</f>
        <v/>
      </c>
      <c r="AE61" s="43">
        <f>AE62-AE57-AE59-AE60</f>
        <v/>
      </c>
      <c r="AF61" s="43">
        <f>AF62-AF57-AF59-AF60</f>
        <v/>
      </c>
      <c r="AG61" s="43">
        <f>AG62-AG57-AG59-AG60</f>
        <v/>
      </c>
      <c r="AH61" s="43">
        <f>AH62-AH57-AH59-AH60</f>
        <v/>
      </c>
      <c r="AI61" s="43">
        <f>AI62-AI57-AI59-AI60</f>
        <v/>
      </c>
      <c r="AJ61" s="43">
        <f>AJ62-AJ57-AJ59-AJ60</f>
        <v/>
      </c>
      <c r="AK61" s="43">
        <f>AK62-AK57-AK59-AK60</f>
        <v/>
      </c>
      <c r="AL61" s="43">
        <f>AL62-AL57-AL59-AL60</f>
        <v/>
      </c>
      <c r="AM61" s="43">
        <f>AM62-AM57-AM59-AM60</f>
        <v/>
      </c>
      <c r="AN61" s="43">
        <f>AN62-AN57-AN59-AN60</f>
        <v/>
      </c>
      <c r="AO61" s="43">
        <f>AO62-AO57-AO59-AO60</f>
        <v/>
      </c>
      <c r="AP61" s="43">
        <f>AP62-AP57-AP59-AP60</f>
        <v/>
      </c>
      <c r="AQ61" s="43">
        <f>AQ62-AQ57-AQ59-AQ60</f>
        <v/>
      </c>
      <c r="AR61" s="43">
        <f>AR62-AR57-AR59-AR60</f>
        <v/>
      </c>
      <c r="AS61" s="43">
        <f>AS62-AS57-AS59-AS60</f>
        <v/>
      </c>
      <c r="AT61" s="43">
        <f>AT62-AT57-AT59-AT60</f>
        <v/>
      </c>
      <c r="AU61" s="43">
        <f>AU62-AU57-AU59-AU60</f>
        <v/>
      </c>
      <c r="AV61" s="43">
        <f>AV62-AV57-AV59-AV60</f>
        <v/>
      </c>
      <c r="AW61" s="43">
        <f>AW62-AW57-AW59-AW60</f>
        <v/>
      </c>
      <c r="AX61" s="43">
        <f>AX62-AX57-AX59-AX60</f>
        <v/>
      </c>
      <c r="AY61" s="43">
        <f>AY62-AY57-AY59-AY60</f>
        <v/>
      </c>
      <c r="AZ61" s="43">
        <f>AZ62-AZ57-AZ59-AZ60</f>
        <v/>
      </c>
      <c r="BA61" s="43">
        <f>BA62-BA57-BA59-BA60</f>
        <v/>
      </c>
      <c r="BB61" s="43">
        <f>BB62-BB57-BB59-BB60</f>
        <v/>
      </c>
      <c r="BC61" s="43">
        <f>BC62-BC57-BC59-BC60</f>
        <v/>
      </c>
      <c r="BD61" s="43">
        <f>BD62-BD57-BD59-BD60</f>
        <v/>
      </c>
      <c r="BE61" s="43">
        <f>BE62-BE57-BE59-BE60</f>
        <v/>
      </c>
      <c r="BF61" s="43">
        <f>BF62-BF57-BF59-BF60</f>
        <v/>
      </c>
      <c r="BG61" s="43">
        <f>BG62-BG57-BG59-BG60</f>
        <v/>
      </c>
      <c r="BH61" s="38">
        <f>BH40</f>
        <v/>
      </c>
      <c r="BI61" s="38">
        <f>BI40</f>
        <v/>
      </c>
      <c r="BJ61" s="38">
        <f>BJ40</f>
        <v/>
      </c>
      <c r="BK61" s="38">
        <f>BK40</f>
        <v/>
      </c>
      <c r="BL61" s="38">
        <f>BL40</f>
        <v/>
      </c>
      <c r="BM61" s="38">
        <f>BM40</f>
        <v/>
      </c>
      <c r="BN61" s="38">
        <f>BN40</f>
        <v/>
      </c>
      <c r="BO61" s="38">
        <f>BO40</f>
        <v/>
      </c>
      <c r="BP61" s="38">
        <f>BP40</f>
        <v/>
      </c>
      <c r="BQ61" s="38">
        <f>BQ40</f>
        <v/>
      </c>
      <c r="BR61" s="31" t="inlineStr">
        <is>
          <t>其他。历史=EBT−OI−利息−JV（使P&amp;L配平）；预测为假设。</t>
        </is>
      </c>
    </row>
    <row r="62">
      <c r="A62" s="4" t="inlineStr">
        <is>
          <t>P&amp;L</t>
        </is>
      </c>
      <c r="B62" s="7" t="inlineStr">
        <is>
          <t>Income before tax</t>
        </is>
      </c>
      <c r="C62" s="4" t="inlineStr">
        <is>
          <t>$000</t>
        </is>
      </c>
      <c r="D62" s="36" t="n">
        <v>5699</v>
      </c>
      <c r="E62" s="36" t="n">
        <v>10853</v>
      </c>
      <c r="F62" s="36" t="n">
        <v>11947</v>
      </c>
      <c r="G62" s="36" t="n">
        <v>-1026</v>
      </c>
      <c r="H62" s="36" t="n">
        <v>7072</v>
      </c>
      <c r="I62" s="36" t="n">
        <v>17602</v>
      </c>
      <c r="J62" s="36" t="n">
        <v>20927</v>
      </c>
      <c r="K62" s="36" t="n">
        <v>-19033</v>
      </c>
      <c r="L62" s="36" t="n">
        <v>-10657</v>
      </c>
      <c r="M62" s="36" t="n">
        <v>-21544</v>
      </c>
      <c r="N62" s="37">
        <f>N57+N59+N60+N61</f>
        <v/>
      </c>
      <c r="O62" s="38">
        <f>O57+O59+O60+O61</f>
        <v/>
      </c>
      <c r="P62" s="38">
        <f>P57+P59+P60+P61</f>
        <v/>
      </c>
      <c r="R62" s="36" t="n">
        <v>330</v>
      </c>
      <c r="S62" s="36" t="n">
        <v>938</v>
      </c>
      <c r="T62" s="36" t="n">
        <v>2387</v>
      </c>
      <c r="U62" s="36" t="n">
        <v>2044</v>
      </c>
      <c r="V62" s="36" t="n">
        <v>584</v>
      </c>
      <c r="W62" s="36" t="n">
        <v>2119</v>
      </c>
      <c r="X62" s="36" t="n">
        <v>4746</v>
      </c>
      <c r="Y62" s="36" t="n">
        <v>3404</v>
      </c>
      <c r="Z62" s="36" t="n">
        <v>3524</v>
      </c>
      <c r="AA62" s="36" t="n">
        <v>4918</v>
      </c>
      <c r="AB62" s="36" t="n">
        <v>4557</v>
      </c>
      <c r="AC62" s="36" t="n">
        <v>-1052</v>
      </c>
      <c r="AD62" s="36" t="n">
        <v>-867</v>
      </c>
      <c r="AE62" s="36" t="n">
        <v>2335</v>
      </c>
      <c r="AF62" s="36" t="n">
        <v>-472</v>
      </c>
      <c r="AG62" s="36" t="n">
        <v>-2022</v>
      </c>
      <c r="AH62" s="36" t="n">
        <v>583</v>
      </c>
      <c r="AI62" s="36" t="n">
        <v>1879</v>
      </c>
      <c r="AJ62" s="36" t="n">
        <v>2118</v>
      </c>
      <c r="AK62" s="36" t="n">
        <v>2492</v>
      </c>
      <c r="AL62" s="36" t="n">
        <v>4511</v>
      </c>
      <c r="AM62" s="36" t="n">
        <v>5508</v>
      </c>
      <c r="AN62" s="36" t="n">
        <v>4361</v>
      </c>
      <c r="AO62" s="36" t="n">
        <v>3222</v>
      </c>
      <c r="AP62" s="36" t="n">
        <v>4632</v>
      </c>
      <c r="AQ62" s="36" t="n">
        <v>7572</v>
      </c>
      <c r="AR62" s="36" t="n">
        <v>7231</v>
      </c>
      <c r="AS62" s="36" t="n">
        <v>1492</v>
      </c>
      <c r="AT62" s="36" t="n">
        <v>-3518</v>
      </c>
      <c r="AU62" s="36" t="n">
        <v>-5492</v>
      </c>
      <c r="AV62" s="36" t="n">
        <v>-6516</v>
      </c>
      <c r="AW62" s="36" t="n">
        <v>-3507</v>
      </c>
      <c r="AX62" s="36" t="n">
        <v>-1774</v>
      </c>
      <c r="AY62" s="36" t="n">
        <v>-1078</v>
      </c>
      <c r="AZ62" s="36" t="n">
        <v>-2261</v>
      </c>
      <c r="BA62" s="36" t="n">
        <v>-5544</v>
      </c>
      <c r="BB62" s="36" t="n">
        <v>-9942</v>
      </c>
      <c r="BC62" s="36" t="n">
        <v>-7095</v>
      </c>
      <c r="BD62" s="36" t="n">
        <v>-1169</v>
      </c>
      <c r="BE62" s="36" t="n">
        <v>-3338</v>
      </c>
      <c r="BF62" s="36" t="n">
        <v>-1055</v>
      </c>
      <c r="BG62" s="36" t="n">
        <v>15132</v>
      </c>
      <c r="BH62" s="38">
        <f>BH57+BH59+BH60+BH61</f>
        <v/>
      </c>
      <c r="BI62" s="38">
        <f>BI57+BI59+BI60+BI61</f>
        <v/>
      </c>
      <c r="BJ62" s="38">
        <f>BJ57+BJ59+BJ60+BJ61</f>
        <v/>
      </c>
      <c r="BK62" s="38">
        <f>BK57+BK59+BK60+BK61</f>
        <v/>
      </c>
      <c r="BL62" s="38">
        <f>BL57+BL59+BL60+BL61</f>
        <v/>
      </c>
      <c r="BM62" s="38">
        <f>BM57+BM59+BM60+BM61</f>
        <v/>
      </c>
      <c r="BN62" s="38">
        <f>BN57+BN59+BN60+BN61</f>
        <v/>
      </c>
      <c r="BO62" s="38">
        <f>BO57+BO59+BO60+BO61</f>
        <v/>
      </c>
      <c r="BP62" s="38">
        <f>BP57+BP59+BP60+BP61</f>
        <v/>
      </c>
      <c r="BQ62" s="38">
        <f>BQ57+BQ59+BQ60+BQ61</f>
        <v/>
      </c>
      <c r="BR62" s="31" t="inlineStr">
        <is>
          <t>税前利润（公式）。</t>
        </is>
      </c>
    </row>
    <row r="63">
      <c r="A63" s="4" t="inlineStr">
        <is>
          <t>P&amp;L</t>
        </is>
      </c>
      <c r="B63" s="7" t="inlineStr">
        <is>
          <t>Provision for income taxes</t>
        </is>
      </c>
      <c r="C63" s="4" t="inlineStr">
        <is>
          <t>$000</t>
        </is>
      </c>
      <c r="D63" s="36" t="n">
        <v>733</v>
      </c>
      <c r="E63" s="36" t="n">
        <v>792</v>
      </c>
      <c r="F63" s="36" t="n">
        <v>938</v>
      </c>
      <c r="G63" s="36" t="n">
        <v>562</v>
      </c>
      <c r="H63" s="36" t="n">
        <v>2031</v>
      </c>
      <c r="I63" s="36" t="n">
        <v>1093</v>
      </c>
      <c r="J63" s="36" t="n">
        <v>2185</v>
      </c>
      <c r="K63" s="36" t="n">
        <v>160</v>
      </c>
      <c r="L63" s="36" t="n">
        <v>1134</v>
      </c>
      <c r="M63" s="36" t="n">
        <v>1658</v>
      </c>
      <c r="N63" s="37">
        <f>BF63+BG63+BH63+BI63</f>
        <v/>
      </c>
      <c r="O63" s="38">
        <f>BJ63+BK63+BL63+BM63</f>
        <v/>
      </c>
      <c r="P63" s="38">
        <f>BN63+BO63+BP63+BQ63</f>
        <v/>
      </c>
      <c r="R63" s="36" t="n">
        <v>397</v>
      </c>
      <c r="S63" s="36" t="n">
        <v>140</v>
      </c>
      <c r="T63" s="36" t="n">
        <v>176</v>
      </c>
      <c r="U63" s="36" t="n">
        <v>20</v>
      </c>
      <c r="V63" s="36" t="n">
        <v>159</v>
      </c>
      <c r="W63" s="36" t="n">
        <v>321</v>
      </c>
      <c r="X63" s="36" t="n">
        <v>181</v>
      </c>
      <c r="Y63" s="36" t="n">
        <v>131</v>
      </c>
      <c r="Z63" s="36" t="n">
        <v>334</v>
      </c>
      <c r="AA63" s="36" t="n">
        <v>367</v>
      </c>
      <c r="AB63" s="36" t="n">
        <v>410</v>
      </c>
      <c r="AC63" s="36" t="n">
        <v>-173</v>
      </c>
      <c r="AD63" s="36" t="n">
        <v>156</v>
      </c>
      <c r="AE63" s="36" t="n">
        <v>597</v>
      </c>
      <c r="AF63" s="36" t="n">
        <v>23</v>
      </c>
      <c r="AG63" s="36" t="n">
        <v>-214</v>
      </c>
      <c r="AH63" s="36" t="n">
        <v>366</v>
      </c>
      <c r="AI63" s="36" t="n">
        <v>920</v>
      </c>
      <c r="AJ63" s="36" t="n">
        <v>637</v>
      </c>
      <c r="AK63" s="36" t="n">
        <v>108</v>
      </c>
      <c r="AL63" s="36" t="n">
        <v>746</v>
      </c>
      <c r="AM63" s="36" t="n">
        <v>893</v>
      </c>
      <c r="AN63" s="36" t="n">
        <v>-135</v>
      </c>
      <c r="AO63" s="36" t="n">
        <v>-411</v>
      </c>
      <c r="AP63" s="36" t="n">
        <v>660</v>
      </c>
      <c r="AQ63" s="36" t="n">
        <v>1027</v>
      </c>
      <c r="AR63" s="36" t="n">
        <v>501</v>
      </c>
      <c r="AS63" s="36" t="n">
        <v>-3</v>
      </c>
      <c r="AT63" s="36" t="n">
        <v>148</v>
      </c>
      <c r="AU63" s="36" t="n">
        <v>-139</v>
      </c>
      <c r="AV63" s="36" t="n">
        <v>-101</v>
      </c>
      <c r="AW63" s="36" t="n">
        <v>252</v>
      </c>
      <c r="AX63" s="36" t="n">
        <v>274</v>
      </c>
      <c r="AY63" s="36" t="n">
        <v>121</v>
      </c>
      <c r="AZ63" s="36" t="n">
        <v>626</v>
      </c>
      <c r="BA63" s="36" t="n">
        <v>113</v>
      </c>
      <c r="BB63" s="36" t="n">
        <v>74</v>
      </c>
      <c r="BC63" s="36" t="n">
        <v>579</v>
      </c>
      <c r="BD63" s="36" t="n">
        <v>504</v>
      </c>
      <c r="BE63" s="36" t="n">
        <v>501</v>
      </c>
      <c r="BF63" s="36" t="n">
        <v>430</v>
      </c>
      <c r="BG63" s="36" t="n">
        <v>2102</v>
      </c>
      <c r="BH63" s="38">
        <f>IF(BH62&gt;0,BH62*BH35,400)</f>
        <v/>
      </c>
      <c r="BI63" s="38">
        <f>IF(BI62&gt;0,BI62*BI35,400)</f>
        <v/>
      </c>
      <c r="BJ63" s="38">
        <f>IF(BJ62&gt;0,BJ62*BJ35,400)</f>
        <v/>
      </c>
      <c r="BK63" s="38">
        <f>IF(BK62&gt;0,BK62*BK35,400)</f>
        <v/>
      </c>
      <c r="BL63" s="38">
        <f>IF(BL62&gt;0,BL62*BL35,400)</f>
        <v/>
      </c>
      <c r="BM63" s="38">
        <f>IF(BM62&gt;0,BM62*BM35,400)</f>
        <v/>
      </c>
      <c r="BN63" s="38">
        <f>IF(BN62&gt;0,BN62*BN35,400)</f>
        <v/>
      </c>
      <c r="BO63" s="38">
        <f>IF(BO62&gt;0,BO62*BO35,400)</f>
        <v/>
      </c>
      <c r="BP63" s="38">
        <f>IF(BP62&gt;0,BP62*BP35,400)</f>
        <v/>
      </c>
      <c r="BQ63" s="38">
        <f>IF(BQ62&gt;0,BQ62*BQ35,400)</f>
        <v/>
      </c>
      <c r="BR63" s="31" t="inlineStr">
        <is>
          <t>所得税。历史硬编码；预测=max(EBT,0)×税率 + 亏损期最低税$400k/季。</t>
        </is>
      </c>
    </row>
    <row r="64">
      <c r="A64" s="4" t="inlineStr">
        <is>
          <t>P&amp;L</t>
        </is>
      </c>
      <c r="B64" s="5" t="inlineStr">
        <is>
          <t>Net income (consolidated)</t>
        </is>
      </c>
      <c r="C64" s="4" t="inlineStr">
        <is>
          <t>$000</t>
        </is>
      </c>
      <c r="D64" s="45">
        <f>D62-D63</f>
        <v/>
      </c>
      <c r="E64" s="45">
        <f>E62-E63</f>
        <v/>
      </c>
      <c r="F64" s="45">
        <f>F62-F63</f>
        <v/>
      </c>
      <c r="G64" s="45">
        <f>G62-G63</f>
        <v/>
      </c>
      <c r="H64" s="45">
        <f>H62-H63</f>
        <v/>
      </c>
      <c r="I64" s="45">
        <f>I62-I63</f>
        <v/>
      </c>
      <c r="J64" s="45">
        <f>J62-J63</f>
        <v/>
      </c>
      <c r="K64" s="45">
        <f>K62-K63</f>
        <v/>
      </c>
      <c r="L64" s="45">
        <f>L62-L63</f>
        <v/>
      </c>
      <c r="M64" s="45">
        <f>M62-M63</f>
        <v/>
      </c>
      <c r="N64" s="45">
        <f>N62-N63</f>
        <v/>
      </c>
      <c r="O64" s="45">
        <f>O62-O63</f>
        <v/>
      </c>
      <c r="P64" s="45">
        <f>P62-P63</f>
        <v/>
      </c>
      <c r="R64" s="45">
        <f>R62-R63</f>
        <v/>
      </c>
      <c r="S64" s="45">
        <f>S62-S63</f>
        <v/>
      </c>
      <c r="T64" s="45">
        <f>T62-T63</f>
        <v/>
      </c>
      <c r="U64" s="45">
        <f>U62-U63</f>
        <v/>
      </c>
      <c r="V64" s="45">
        <f>V62-V63</f>
        <v/>
      </c>
      <c r="W64" s="45">
        <f>W62-W63</f>
        <v/>
      </c>
      <c r="X64" s="45">
        <f>X62-X63</f>
        <v/>
      </c>
      <c r="Y64" s="45">
        <f>Y62-Y63</f>
        <v/>
      </c>
      <c r="Z64" s="45">
        <f>Z62-Z63</f>
        <v/>
      </c>
      <c r="AA64" s="45">
        <f>AA62-AA63</f>
        <v/>
      </c>
      <c r="AB64" s="45">
        <f>AB62-AB63</f>
        <v/>
      </c>
      <c r="AC64" s="45">
        <f>AC62-AC63</f>
        <v/>
      </c>
      <c r="AD64" s="45">
        <f>AD62-AD63</f>
        <v/>
      </c>
      <c r="AE64" s="45">
        <f>AE62-AE63</f>
        <v/>
      </c>
      <c r="AF64" s="45">
        <f>AF62-AF63</f>
        <v/>
      </c>
      <c r="AG64" s="45">
        <f>AG62-AG63</f>
        <v/>
      </c>
      <c r="AH64" s="45">
        <f>AH62-AH63</f>
        <v/>
      </c>
      <c r="AI64" s="45">
        <f>AI62-AI63</f>
        <v/>
      </c>
      <c r="AJ64" s="45">
        <f>AJ62-AJ63</f>
        <v/>
      </c>
      <c r="AK64" s="45">
        <f>AK62-AK63</f>
        <v/>
      </c>
      <c r="AL64" s="45">
        <f>AL62-AL63</f>
        <v/>
      </c>
      <c r="AM64" s="45">
        <f>AM62-AM63</f>
        <v/>
      </c>
      <c r="AN64" s="45">
        <f>AN62-AN63</f>
        <v/>
      </c>
      <c r="AO64" s="45">
        <f>AO62-AO63</f>
        <v/>
      </c>
      <c r="AP64" s="45">
        <f>AP62-AP63</f>
        <v/>
      </c>
      <c r="AQ64" s="45">
        <f>AQ62-AQ63</f>
        <v/>
      </c>
      <c r="AR64" s="45">
        <f>AR62-AR63</f>
        <v/>
      </c>
      <c r="AS64" s="45">
        <f>AS62-AS63</f>
        <v/>
      </c>
      <c r="AT64" s="45">
        <f>AT62-AT63</f>
        <v/>
      </c>
      <c r="AU64" s="45">
        <f>AU62-AU63</f>
        <v/>
      </c>
      <c r="AV64" s="45">
        <f>AV62-AV63</f>
        <v/>
      </c>
      <c r="AW64" s="45">
        <f>AW62-AW63</f>
        <v/>
      </c>
      <c r="AX64" s="45">
        <f>AX62-AX63</f>
        <v/>
      </c>
      <c r="AY64" s="45">
        <f>AY62-AY63</f>
        <v/>
      </c>
      <c r="AZ64" s="45">
        <f>AZ62-AZ63</f>
        <v/>
      </c>
      <c r="BA64" s="45">
        <f>BA62-BA63</f>
        <v/>
      </c>
      <c r="BB64" s="45">
        <f>BB62-BB63</f>
        <v/>
      </c>
      <c r="BC64" s="45">
        <f>BC62-BC63</f>
        <v/>
      </c>
      <c r="BD64" s="45">
        <f>BD62-BD63</f>
        <v/>
      </c>
      <c r="BE64" s="45">
        <f>BE62-BE63</f>
        <v/>
      </c>
      <c r="BF64" s="45">
        <f>BF62-BF63</f>
        <v/>
      </c>
      <c r="BG64" s="45">
        <f>BG62-BG63</f>
        <v/>
      </c>
      <c r="BH64" s="45">
        <f>BH62-BH63</f>
        <v/>
      </c>
      <c r="BI64" s="45">
        <f>BI62-BI63</f>
        <v/>
      </c>
      <c r="BJ64" s="45">
        <f>BJ62-BJ63</f>
        <v/>
      </c>
      <c r="BK64" s="45">
        <f>BK62-BK63</f>
        <v/>
      </c>
      <c r="BL64" s="45">
        <f>BL62-BL63</f>
        <v/>
      </c>
      <c r="BM64" s="45">
        <f>BM62-BM63</f>
        <v/>
      </c>
      <c r="BN64" s="45">
        <f>BN62-BN63</f>
        <v/>
      </c>
      <c r="BO64" s="45">
        <f>BO62-BO63</f>
        <v/>
      </c>
      <c r="BP64" s="45">
        <f>BP62-BP63</f>
        <v/>
      </c>
      <c r="BQ64" s="45">
        <f>BQ62-BQ63</f>
        <v/>
      </c>
      <c r="BR64" s="31" t="inlineStr">
        <is>
          <t>合并净利润=EBT−Tax。注意XBRL中NetIncomeLoss常为归属母公司数，本模型分开列示。</t>
        </is>
      </c>
    </row>
    <row r="65">
      <c r="A65" s="4" t="inlineStr">
        <is>
          <t>P&amp;L</t>
        </is>
      </c>
      <c r="B65" s="7" t="inlineStr">
        <is>
          <t>Net (income) / loss to NCI &amp; redeemable NCI</t>
        </is>
      </c>
      <c r="C65" s="4" t="inlineStr">
        <is>
          <t>$000</t>
        </is>
      </c>
      <c r="D65" s="36" t="n">
        <v>-670</v>
      </c>
      <c r="E65" s="36" t="n">
        <v>-87</v>
      </c>
      <c r="F65" s="36" t="n">
        <v>1355</v>
      </c>
      <c r="G65" s="36" t="n">
        <v>1012</v>
      </c>
      <c r="H65" s="36" t="n">
        <v>1803</v>
      </c>
      <c r="I65" s="36" t="n">
        <v>1934</v>
      </c>
      <c r="J65" s="36" t="n">
        <v>2931</v>
      </c>
      <c r="K65" s="36" t="n">
        <v>-1312</v>
      </c>
      <c r="L65" s="36" t="n">
        <v>-167</v>
      </c>
      <c r="M65" s="36" t="n">
        <v>-1942</v>
      </c>
      <c r="N65" s="37">
        <f>BF65+BG65+BH65+BI65</f>
        <v/>
      </c>
      <c r="O65" s="38">
        <f>BJ65+BK65+BL65+BM65</f>
        <v/>
      </c>
      <c r="P65" s="38">
        <f>BN65+BO65+BP65+BQ65</f>
        <v/>
      </c>
      <c r="R65" s="36" t="n">
        <v>-109</v>
      </c>
      <c r="S65" s="36" t="n">
        <v>-353</v>
      </c>
      <c r="T65" s="36" t="n">
        <v>-18</v>
      </c>
      <c r="U65" s="36" t="n">
        <v>-190</v>
      </c>
      <c r="V65" s="36" t="n">
        <v>-240</v>
      </c>
      <c r="W65" s="36" t="n">
        <v>-132</v>
      </c>
      <c r="X65" s="36" t="n">
        <v>146</v>
      </c>
      <c r="Y65" s="36" t="n">
        <v>139</v>
      </c>
      <c r="Z65" s="36" t="n">
        <v>315</v>
      </c>
      <c r="AA65" s="36" t="n">
        <v>650</v>
      </c>
      <c r="AB65" s="36" t="n">
        <v>208</v>
      </c>
      <c r="AC65" s="36" t="n">
        <v>182</v>
      </c>
      <c r="AD65" s="36" t="n">
        <v>81</v>
      </c>
      <c r="AE65" s="36" t="n">
        <v>287</v>
      </c>
      <c r="AF65" s="36" t="n">
        <v>403</v>
      </c>
      <c r="AG65" s="36" t="n">
        <v>241</v>
      </c>
      <c r="AH65" s="36" t="n">
        <v>395</v>
      </c>
      <c r="AI65" s="36" t="n">
        <v>598</v>
      </c>
      <c r="AJ65" s="36" t="n">
        <v>490</v>
      </c>
      <c r="AK65" s="36" t="n">
        <v>320</v>
      </c>
      <c r="AL65" s="36" t="n">
        <v>340</v>
      </c>
      <c r="AM65" s="36" t="n">
        <v>230</v>
      </c>
      <c r="AN65" s="36" t="n">
        <v>696</v>
      </c>
      <c r="AO65" s="36" t="n">
        <v>668</v>
      </c>
      <c r="AP65" s="36" t="n">
        <v>807</v>
      </c>
      <c r="AQ65" s="36" t="n">
        <v>999</v>
      </c>
      <c r="AR65" s="36" t="n">
        <v>971</v>
      </c>
      <c r="AS65" s="36" t="n">
        <v>154</v>
      </c>
      <c r="AT65" s="36" t="n">
        <v>-318</v>
      </c>
      <c r="AU65" s="36" t="n">
        <v>-264</v>
      </c>
      <c r="AV65" s="36" t="n">
        <v>-592</v>
      </c>
      <c r="AW65" s="36" t="n">
        <v>-138</v>
      </c>
      <c r="AX65" s="36" t="n">
        <v>35</v>
      </c>
      <c r="AY65" s="36" t="n">
        <v>317</v>
      </c>
      <c r="AZ65" s="36" t="n">
        <v>50</v>
      </c>
      <c r="BA65" s="36" t="n">
        <v>-569</v>
      </c>
      <c r="BB65" s="36" t="n">
        <v>-1218</v>
      </c>
      <c r="BC65" s="36" t="n">
        <v>-666</v>
      </c>
      <c r="BD65" s="36" t="n">
        <v>233</v>
      </c>
      <c r="BE65" s="36" t="n">
        <v>-291</v>
      </c>
      <c r="BF65" s="36" t="n">
        <v>135</v>
      </c>
      <c r="BG65" s="36" t="n">
        <v>1902</v>
      </c>
      <c r="BH65" s="38">
        <f>BH64*BH36</f>
        <v/>
      </c>
      <c r="BI65" s="38">
        <f>BI64*BI36</f>
        <v/>
      </c>
      <c r="BJ65" s="38">
        <f>BJ64*BJ36</f>
        <v/>
      </c>
      <c r="BK65" s="38">
        <f>BK64*BK36</f>
        <v/>
      </c>
      <c r="BL65" s="38">
        <f>BL64*BL36</f>
        <v/>
      </c>
      <c r="BM65" s="38">
        <f>BM64*BM36</f>
        <v/>
      </c>
      <c r="BN65" s="38">
        <f>BN64*BN36</f>
        <v/>
      </c>
      <c r="BO65" s="38">
        <f>BO64*BO36</f>
        <v/>
      </c>
      <c r="BP65" s="38">
        <f>BP64*BP36</f>
        <v/>
      </c>
      <c r="BQ65" s="38">
        <f>BQ64*BQ36</f>
        <v/>
      </c>
      <c r="BR65" s="31" t="inlineStr">
        <is>
          <t>少数股东损益。符号：正数=NCI分享利润（减少归属AXT）。预测=合并NI×NCI%。</t>
        </is>
      </c>
    </row>
    <row r="66">
      <c r="A66" s="4" t="inlineStr">
        <is>
          <t>P&amp;L</t>
        </is>
      </c>
      <c r="B66" s="5" t="inlineStr">
        <is>
          <t>Net income attributable to AXT, Inc.</t>
        </is>
      </c>
      <c r="C66" s="4" t="inlineStr">
        <is>
          <t>$000</t>
        </is>
      </c>
      <c r="D66" s="45">
        <f>D64-D65</f>
        <v/>
      </c>
      <c r="E66" s="45">
        <f>E64-E65</f>
        <v/>
      </c>
      <c r="F66" s="45">
        <f>F64-F65</f>
        <v/>
      </c>
      <c r="G66" s="45">
        <f>G64-G65</f>
        <v/>
      </c>
      <c r="H66" s="45">
        <f>H64-H65</f>
        <v/>
      </c>
      <c r="I66" s="45">
        <f>I64-I65</f>
        <v/>
      </c>
      <c r="J66" s="45">
        <f>J64-J65</f>
        <v/>
      </c>
      <c r="K66" s="45">
        <f>K64-K65</f>
        <v/>
      </c>
      <c r="L66" s="45">
        <f>L64-L65</f>
        <v/>
      </c>
      <c r="M66" s="45">
        <f>M64-M65</f>
        <v/>
      </c>
      <c r="N66" s="45">
        <f>N64-N65</f>
        <v/>
      </c>
      <c r="O66" s="45">
        <f>O64-O65</f>
        <v/>
      </c>
      <c r="P66" s="45">
        <f>P64-P65</f>
        <v/>
      </c>
      <c r="R66" s="45">
        <f>R64-R65</f>
        <v/>
      </c>
      <c r="S66" s="45">
        <f>S64-S65</f>
        <v/>
      </c>
      <c r="T66" s="45">
        <f>T64-T65</f>
        <v/>
      </c>
      <c r="U66" s="45">
        <f>U64-U65</f>
        <v/>
      </c>
      <c r="V66" s="45">
        <f>V64-V65</f>
        <v/>
      </c>
      <c r="W66" s="45">
        <f>W64-W65</f>
        <v/>
      </c>
      <c r="X66" s="45">
        <f>X64-X65</f>
        <v/>
      </c>
      <c r="Y66" s="45">
        <f>Y64-Y65</f>
        <v/>
      </c>
      <c r="Z66" s="45">
        <f>Z64-Z65</f>
        <v/>
      </c>
      <c r="AA66" s="45">
        <f>AA64-AA65</f>
        <v/>
      </c>
      <c r="AB66" s="45">
        <f>AB64-AB65</f>
        <v/>
      </c>
      <c r="AC66" s="45">
        <f>AC64-AC65</f>
        <v/>
      </c>
      <c r="AD66" s="45">
        <f>AD64-AD65</f>
        <v/>
      </c>
      <c r="AE66" s="45">
        <f>AE64-AE65</f>
        <v/>
      </c>
      <c r="AF66" s="45">
        <f>AF64-AF65</f>
        <v/>
      </c>
      <c r="AG66" s="45">
        <f>AG64-AG65</f>
        <v/>
      </c>
      <c r="AH66" s="45">
        <f>AH64-AH65</f>
        <v/>
      </c>
      <c r="AI66" s="45">
        <f>AI64-AI65</f>
        <v/>
      </c>
      <c r="AJ66" s="45">
        <f>AJ64-AJ65</f>
        <v/>
      </c>
      <c r="AK66" s="45">
        <f>AK64-AK65</f>
        <v/>
      </c>
      <c r="AL66" s="45">
        <f>AL64-AL65</f>
        <v/>
      </c>
      <c r="AM66" s="45">
        <f>AM64-AM65</f>
        <v/>
      </c>
      <c r="AN66" s="45">
        <f>AN64-AN65</f>
        <v/>
      </c>
      <c r="AO66" s="45">
        <f>AO64-AO65</f>
        <v/>
      </c>
      <c r="AP66" s="45">
        <f>AP64-AP65</f>
        <v/>
      </c>
      <c r="AQ66" s="45">
        <f>AQ64-AQ65</f>
        <v/>
      </c>
      <c r="AR66" s="45">
        <f>AR64-AR65</f>
        <v/>
      </c>
      <c r="AS66" s="45">
        <f>AS64-AS65</f>
        <v/>
      </c>
      <c r="AT66" s="45">
        <f>AT64-AT65</f>
        <v/>
      </c>
      <c r="AU66" s="45">
        <f>AU64-AU65</f>
        <v/>
      </c>
      <c r="AV66" s="45">
        <f>AV64-AV65</f>
        <v/>
      </c>
      <c r="AW66" s="45">
        <f>AW64-AW65</f>
        <v/>
      </c>
      <c r="AX66" s="45">
        <f>AX64-AX65</f>
        <v/>
      </c>
      <c r="AY66" s="45">
        <f>AY64-AY65</f>
        <v/>
      </c>
      <c r="AZ66" s="45">
        <f>AZ64-AZ65</f>
        <v/>
      </c>
      <c r="BA66" s="45">
        <f>BA64-BA65</f>
        <v/>
      </c>
      <c r="BB66" s="45">
        <f>BB64-BB65</f>
        <v/>
      </c>
      <c r="BC66" s="45">
        <f>BC64-BC65</f>
        <v/>
      </c>
      <c r="BD66" s="45">
        <f>BD64-BD65</f>
        <v/>
      </c>
      <c r="BE66" s="45">
        <f>BE64-BE65</f>
        <v/>
      </c>
      <c r="BF66" s="45">
        <f>BF64-BF65</f>
        <v/>
      </c>
      <c r="BG66" s="45">
        <f>BG64-BG65</f>
        <v/>
      </c>
      <c r="BH66" s="45">
        <f>BH64-BH65</f>
        <v/>
      </c>
      <c r="BI66" s="45">
        <f>BI64-BI65</f>
        <v/>
      </c>
      <c r="BJ66" s="45">
        <f>BJ64-BJ65</f>
        <v/>
      </c>
      <c r="BK66" s="45">
        <f>BK64-BK65</f>
        <v/>
      </c>
      <c r="BL66" s="45">
        <f>BL64-BL65</f>
        <v/>
      </c>
      <c r="BM66" s="45">
        <f>BM64-BM65</f>
        <v/>
      </c>
      <c r="BN66" s="45">
        <f>BN64-BN65</f>
        <v/>
      </c>
      <c r="BO66" s="45">
        <f>BO64-BO65</f>
        <v/>
      </c>
      <c r="BP66" s="45">
        <f>BP64-BP65</f>
        <v/>
      </c>
      <c r="BQ66" s="45">
        <f>BQ64-BQ65</f>
        <v/>
      </c>
      <c r="BR66" s="31" t="inlineStr">
        <is>
          <t>归属AXT净利润=合并NI−NCI。</t>
        </is>
      </c>
    </row>
    <row r="67">
      <c r="A67" s="4" t="inlineStr">
        <is>
          <t>P&amp;L</t>
        </is>
      </c>
      <c r="B67" s="7" t="inlineStr">
        <is>
          <t>Preferred dividends</t>
        </is>
      </c>
      <c r="C67" s="4" t="inlineStr">
        <is>
          <t>$000</t>
        </is>
      </c>
      <c r="D67" s="36" t="n">
        <v>177</v>
      </c>
      <c r="E67" s="36" t="n">
        <v>177</v>
      </c>
      <c r="F67" s="36" t="n">
        <v>177</v>
      </c>
      <c r="G67" s="36" t="n">
        <v>177</v>
      </c>
      <c r="H67" s="36" t="n">
        <v>177</v>
      </c>
      <c r="I67" s="36" t="n">
        <v>177</v>
      </c>
      <c r="J67" s="36" t="n">
        <v>177</v>
      </c>
      <c r="K67" s="36" t="n">
        <v>177</v>
      </c>
      <c r="L67" s="36" t="n">
        <v>177</v>
      </c>
      <c r="M67" s="36" t="n">
        <v>177</v>
      </c>
      <c r="N67" s="37">
        <f>BF67+BG67+BH67+BI67</f>
        <v/>
      </c>
      <c r="O67" s="38">
        <f>BJ67+BK67+BL67+BM67</f>
        <v/>
      </c>
      <c r="P67" s="38">
        <f>BN67+BO67+BP67+BQ67</f>
        <v/>
      </c>
      <c r="R67" s="36" t="n">
        <v>44</v>
      </c>
      <c r="S67" s="36" t="n">
        <v>44</v>
      </c>
      <c r="T67" s="36" t="n">
        <v>44</v>
      </c>
      <c r="U67" s="36" t="n">
        <v>44</v>
      </c>
      <c r="V67" s="36" t="n">
        <v>44</v>
      </c>
      <c r="W67" s="36" t="n">
        <v>44</v>
      </c>
      <c r="X67" s="36" t="n">
        <v>44</v>
      </c>
      <c r="Y67" s="36" t="n">
        <v>44</v>
      </c>
      <c r="Z67" s="36" t="n">
        <v>44</v>
      </c>
      <c r="AA67" s="36" t="n">
        <v>44</v>
      </c>
      <c r="AB67" s="36" t="n">
        <v>44</v>
      </c>
      <c r="AC67" s="36" t="n">
        <v>44</v>
      </c>
      <c r="AD67" s="36" t="n">
        <v>44</v>
      </c>
      <c r="AE67" s="36" t="n">
        <v>44</v>
      </c>
      <c r="AF67" s="36" t="n">
        <v>44</v>
      </c>
      <c r="AG67" s="36" t="n">
        <v>44</v>
      </c>
      <c r="AH67" s="36" t="n">
        <v>44</v>
      </c>
      <c r="AI67" s="36" t="n">
        <v>44</v>
      </c>
      <c r="AJ67" s="36" t="n">
        <v>44</v>
      </c>
      <c r="AK67" s="36" t="n">
        <v>44</v>
      </c>
      <c r="AL67" s="36" t="n">
        <v>44</v>
      </c>
      <c r="AM67" s="36" t="n">
        <v>44</v>
      </c>
      <c r="AN67" s="36" t="n">
        <v>44</v>
      </c>
      <c r="AO67" s="36" t="n">
        <v>44</v>
      </c>
      <c r="AP67" s="36" t="n">
        <v>44</v>
      </c>
      <c r="AQ67" s="36" t="n">
        <v>44</v>
      </c>
      <c r="AR67" s="36" t="n">
        <v>44</v>
      </c>
      <c r="AS67" s="36" t="n">
        <v>44</v>
      </c>
      <c r="AT67" s="36" t="n">
        <v>44</v>
      </c>
      <c r="AU67" s="36" t="n">
        <v>44</v>
      </c>
      <c r="AV67" s="36" t="n">
        <v>44</v>
      </c>
      <c r="AW67" s="36" t="n">
        <v>44</v>
      </c>
      <c r="AX67" s="36" t="n">
        <v>44</v>
      </c>
      <c r="AY67" s="36" t="n">
        <v>44</v>
      </c>
      <c r="AZ67" s="36" t="n">
        <v>44</v>
      </c>
      <c r="BA67" s="36" t="n">
        <v>44</v>
      </c>
      <c r="BB67" s="36" t="n">
        <v>44</v>
      </c>
      <c r="BC67" s="36" t="n">
        <v>44</v>
      </c>
      <c r="BD67" s="36" t="n">
        <v>44</v>
      </c>
      <c r="BE67" s="36" t="n">
        <v>44</v>
      </c>
      <c r="BF67" s="36" t="n">
        <v>44</v>
      </c>
      <c r="BG67" s="36" t="n">
        <v>44</v>
      </c>
      <c r="BH67" s="44" t="n">
        <v>44</v>
      </c>
      <c r="BI67" s="44" t="n">
        <v>44</v>
      </c>
      <c r="BJ67" s="44" t="n">
        <v>44</v>
      </c>
      <c r="BK67" s="44" t="n">
        <v>44</v>
      </c>
      <c r="BL67" s="44" t="n">
        <v>44</v>
      </c>
      <c r="BM67" s="44" t="n">
        <v>44</v>
      </c>
      <c r="BN67" s="44" t="n">
        <v>44</v>
      </c>
      <c r="BO67" s="44" t="n">
        <v>44</v>
      </c>
      <c r="BP67" s="44" t="n">
        <v>44</v>
      </c>
      <c r="BQ67" s="44" t="n">
        <v>44</v>
      </c>
      <c r="BR67" s="31" t="inlineStr">
        <is>
          <t>A系列优先股股息约$177k/年（$0.001 par, 883k股, 5%）。</t>
        </is>
      </c>
    </row>
    <row r="68">
      <c r="A68" s="4" t="inlineStr">
        <is>
          <t>P&amp;L</t>
        </is>
      </c>
      <c r="B68" s="7" t="inlineStr">
        <is>
          <t>Net income to common</t>
        </is>
      </c>
      <c r="C68" s="4" t="inlineStr">
        <is>
          <t>$000</t>
        </is>
      </c>
      <c r="D68" s="43">
        <f>D66-D67</f>
        <v/>
      </c>
      <c r="E68" s="43">
        <f>E66-E67</f>
        <v/>
      </c>
      <c r="F68" s="43">
        <f>F66-F67</f>
        <v/>
      </c>
      <c r="G68" s="43">
        <f>G66-G67</f>
        <v/>
      </c>
      <c r="H68" s="43">
        <f>H66-H67</f>
        <v/>
      </c>
      <c r="I68" s="43">
        <f>I66-I67</f>
        <v/>
      </c>
      <c r="J68" s="43">
        <f>J66-J67</f>
        <v/>
      </c>
      <c r="K68" s="43">
        <f>K66-K67</f>
        <v/>
      </c>
      <c r="L68" s="43">
        <f>L66-L67</f>
        <v/>
      </c>
      <c r="M68" s="43">
        <f>M66-M67</f>
        <v/>
      </c>
      <c r="N68" s="37">
        <f>N66-N67</f>
        <v/>
      </c>
      <c r="O68" s="38">
        <f>O66-O67</f>
        <v/>
      </c>
      <c r="P68" s="38">
        <f>P66-P67</f>
        <v/>
      </c>
      <c r="R68" s="43">
        <f>R66-R67</f>
        <v/>
      </c>
      <c r="S68" s="43">
        <f>S66-S67</f>
        <v/>
      </c>
      <c r="T68" s="43">
        <f>T66-T67</f>
        <v/>
      </c>
      <c r="U68" s="43">
        <f>U66-U67</f>
        <v/>
      </c>
      <c r="V68" s="43">
        <f>V66-V67</f>
        <v/>
      </c>
      <c r="W68" s="43">
        <f>W66-W67</f>
        <v/>
      </c>
      <c r="X68" s="43">
        <f>X66-X67</f>
        <v/>
      </c>
      <c r="Y68" s="43">
        <f>Y66-Y67</f>
        <v/>
      </c>
      <c r="Z68" s="43">
        <f>Z66-Z67</f>
        <v/>
      </c>
      <c r="AA68" s="43">
        <f>AA66-AA67</f>
        <v/>
      </c>
      <c r="AB68" s="43">
        <f>AB66-AB67</f>
        <v/>
      </c>
      <c r="AC68" s="43">
        <f>AC66-AC67</f>
        <v/>
      </c>
      <c r="AD68" s="43">
        <f>AD66-AD67</f>
        <v/>
      </c>
      <c r="AE68" s="43">
        <f>AE66-AE67</f>
        <v/>
      </c>
      <c r="AF68" s="43">
        <f>AF66-AF67</f>
        <v/>
      </c>
      <c r="AG68" s="43">
        <f>AG66-AG67</f>
        <v/>
      </c>
      <c r="AH68" s="43">
        <f>AH66-AH67</f>
        <v/>
      </c>
      <c r="AI68" s="43">
        <f>AI66-AI67</f>
        <v/>
      </c>
      <c r="AJ68" s="43">
        <f>AJ66-AJ67</f>
        <v/>
      </c>
      <c r="AK68" s="43">
        <f>AK66-AK67</f>
        <v/>
      </c>
      <c r="AL68" s="43">
        <f>AL66-AL67</f>
        <v/>
      </c>
      <c r="AM68" s="43">
        <f>AM66-AM67</f>
        <v/>
      </c>
      <c r="AN68" s="43">
        <f>AN66-AN67</f>
        <v/>
      </c>
      <c r="AO68" s="43">
        <f>AO66-AO67</f>
        <v/>
      </c>
      <c r="AP68" s="43">
        <f>AP66-AP67</f>
        <v/>
      </c>
      <c r="AQ68" s="43">
        <f>AQ66-AQ67</f>
        <v/>
      </c>
      <c r="AR68" s="43">
        <f>AR66-AR67</f>
        <v/>
      </c>
      <c r="AS68" s="43">
        <f>AS66-AS67</f>
        <v/>
      </c>
      <c r="AT68" s="43">
        <f>AT66-AT67</f>
        <v/>
      </c>
      <c r="AU68" s="43">
        <f>AU66-AU67</f>
        <v/>
      </c>
      <c r="AV68" s="43">
        <f>AV66-AV67</f>
        <v/>
      </c>
      <c r="AW68" s="43">
        <f>AW66-AW67</f>
        <v/>
      </c>
      <c r="AX68" s="43">
        <f>AX66-AX67</f>
        <v/>
      </c>
      <c r="AY68" s="43">
        <f>AY66-AY67</f>
        <v/>
      </c>
      <c r="AZ68" s="43">
        <f>AZ66-AZ67</f>
        <v/>
      </c>
      <c r="BA68" s="43">
        <f>BA66-BA67</f>
        <v/>
      </c>
      <c r="BB68" s="43">
        <f>BB66-BB67</f>
        <v/>
      </c>
      <c r="BC68" s="43">
        <f>BC66-BC67</f>
        <v/>
      </c>
      <c r="BD68" s="43">
        <f>BD66-BD67</f>
        <v/>
      </c>
      <c r="BE68" s="43">
        <f>BE66-BE67</f>
        <v/>
      </c>
      <c r="BF68" s="43">
        <f>BF66-BF67</f>
        <v/>
      </c>
      <c r="BG68" s="43">
        <f>BG66-BG67</f>
        <v/>
      </c>
      <c r="BH68" s="38">
        <f>BH66-BH67</f>
        <v/>
      </c>
      <c r="BI68" s="38">
        <f>BI66-BI67</f>
        <v/>
      </c>
      <c r="BJ68" s="38">
        <f>BJ66-BJ67</f>
        <v/>
      </c>
      <c r="BK68" s="38">
        <f>BK66-BK67</f>
        <v/>
      </c>
      <c r="BL68" s="38">
        <f>BL66-BL67</f>
        <v/>
      </c>
      <c r="BM68" s="38">
        <f>BM66-BM67</f>
        <v/>
      </c>
      <c r="BN68" s="38">
        <f>BN66-BN67</f>
        <v/>
      </c>
      <c r="BO68" s="38">
        <f>BO66-BO67</f>
        <v/>
      </c>
      <c r="BP68" s="38">
        <f>BP66-BP67</f>
        <v/>
      </c>
      <c r="BQ68" s="38">
        <f>BQ66-BQ67</f>
        <v/>
      </c>
      <c r="BR68" s="31" t="inlineStr">
        <is>
          <t>属普通股=NI_AXT−优先股股息。</t>
        </is>
      </c>
    </row>
    <row r="69">
      <c r="A69" s="4" t="inlineStr">
        <is>
          <t>P&amp;L</t>
        </is>
      </c>
      <c r="B69" s="7" t="inlineStr">
        <is>
          <t>EPS diluted</t>
        </is>
      </c>
      <c r="C69" s="4" t="inlineStr">
        <is>
          <t>$ / sh</t>
        </is>
      </c>
      <c r="D69" s="39">
        <f>IF(D70=0,0,D68/D70)</f>
        <v/>
      </c>
      <c r="E69" s="39">
        <f>IF(E70=0,0,E68/E70)</f>
        <v/>
      </c>
      <c r="F69" s="39">
        <f>IF(F70=0,0,F68/F70)</f>
        <v/>
      </c>
      <c r="G69" s="39">
        <f>IF(G70=0,0,G68/G70)</f>
        <v/>
      </c>
      <c r="H69" s="39">
        <f>IF(H70=0,0,H68/H70)</f>
        <v/>
      </c>
      <c r="I69" s="39">
        <f>IF(I70=0,0,I68/I70)</f>
        <v/>
      </c>
      <c r="J69" s="39">
        <f>IF(J70=0,0,J68/J70)</f>
        <v/>
      </c>
      <c r="K69" s="39">
        <f>IF(K70=0,0,K68/K70)</f>
        <v/>
      </c>
      <c r="L69" s="39">
        <f>IF(L70=0,0,L68/L70)</f>
        <v/>
      </c>
      <c r="M69" s="39">
        <f>IF(M70=0,0,M68/M70)</f>
        <v/>
      </c>
      <c r="N69" s="33">
        <f>IF(N70=0,0,N68/N70)</f>
        <v/>
      </c>
      <c r="O69" s="34">
        <f>IF(O70=0,0,O68/O70)</f>
        <v/>
      </c>
      <c r="P69" s="34">
        <f>IF(P70=0,0,P68/P70)</f>
        <v/>
      </c>
      <c r="R69" s="39">
        <f>IF(R70=0,0,R68/R70)</f>
        <v/>
      </c>
      <c r="S69" s="39">
        <f>IF(S70=0,0,S68/S70)</f>
        <v/>
      </c>
      <c r="T69" s="39">
        <f>IF(T70=0,0,T68/T70)</f>
        <v/>
      </c>
      <c r="U69" s="39">
        <f>IF(U70=0,0,U68/U70)</f>
        <v/>
      </c>
      <c r="V69" s="39">
        <f>IF(V70=0,0,V68/V70)</f>
        <v/>
      </c>
      <c r="W69" s="39">
        <f>IF(W70=0,0,W68/W70)</f>
        <v/>
      </c>
      <c r="X69" s="39">
        <f>IF(X70=0,0,X68/X70)</f>
        <v/>
      </c>
      <c r="Y69" s="39">
        <f>IF(Y70=0,0,Y68/Y70)</f>
        <v/>
      </c>
      <c r="Z69" s="39">
        <f>IF(Z70=0,0,Z68/Z70)</f>
        <v/>
      </c>
      <c r="AA69" s="39">
        <f>IF(AA70=0,0,AA68/AA70)</f>
        <v/>
      </c>
      <c r="AB69" s="39">
        <f>IF(AB70=0,0,AB68/AB70)</f>
        <v/>
      </c>
      <c r="AC69" s="39">
        <f>IF(AC70=0,0,AC68/AC70)</f>
        <v/>
      </c>
      <c r="AD69" s="39">
        <f>IF(AD70=0,0,AD68/AD70)</f>
        <v/>
      </c>
      <c r="AE69" s="39">
        <f>IF(AE70=0,0,AE68/AE70)</f>
        <v/>
      </c>
      <c r="AF69" s="39">
        <f>IF(AF70=0,0,AF68/AF70)</f>
        <v/>
      </c>
      <c r="AG69" s="39">
        <f>IF(AG70=0,0,AG68/AG70)</f>
        <v/>
      </c>
      <c r="AH69" s="39">
        <f>IF(AH70=0,0,AH68/AH70)</f>
        <v/>
      </c>
      <c r="AI69" s="39">
        <f>IF(AI70=0,0,AI68/AI70)</f>
        <v/>
      </c>
      <c r="AJ69" s="39">
        <f>IF(AJ70=0,0,AJ68/AJ70)</f>
        <v/>
      </c>
      <c r="AK69" s="39">
        <f>IF(AK70=0,0,AK68/AK70)</f>
        <v/>
      </c>
      <c r="AL69" s="39">
        <f>IF(AL70=0,0,AL68/AL70)</f>
        <v/>
      </c>
      <c r="AM69" s="39">
        <f>IF(AM70=0,0,AM68/AM70)</f>
        <v/>
      </c>
      <c r="AN69" s="39">
        <f>IF(AN70=0,0,AN68/AN70)</f>
        <v/>
      </c>
      <c r="AO69" s="39">
        <f>IF(AO70=0,0,AO68/AO70)</f>
        <v/>
      </c>
      <c r="AP69" s="39">
        <f>IF(AP70=0,0,AP68/AP70)</f>
        <v/>
      </c>
      <c r="AQ69" s="39">
        <f>IF(AQ70=0,0,AQ68/AQ70)</f>
        <v/>
      </c>
      <c r="AR69" s="39">
        <f>IF(AR70=0,0,AR68/AR70)</f>
        <v/>
      </c>
      <c r="AS69" s="39">
        <f>IF(AS70=0,0,AS68/AS70)</f>
        <v/>
      </c>
      <c r="AT69" s="39">
        <f>IF(AT70=0,0,AT68/AT70)</f>
        <v/>
      </c>
      <c r="AU69" s="39">
        <f>IF(AU70=0,0,AU68/AU70)</f>
        <v/>
      </c>
      <c r="AV69" s="39">
        <f>IF(AV70=0,0,AV68/AV70)</f>
        <v/>
      </c>
      <c r="AW69" s="39">
        <f>IF(AW70=0,0,AW68/AW70)</f>
        <v/>
      </c>
      <c r="AX69" s="39">
        <f>IF(AX70=0,0,AX68/AX70)</f>
        <v/>
      </c>
      <c r="AY69" s="39">
        <f>IF(AY70=0,0,AY68/AY70)</f>
        <v/>
      </c>
      <c r="AZ69" s="39">
        <f>IF(AZ70=0,0,AZ68/AZ70)</f>
        <v/>
      </c>
      <c r="BA69" s="39">
        <f>IF(BA70=0,0,BA68/BA70)</f>
        <v/>
      </c>
      <c r="BB69" s="39">
        <f>IF(BB70=0,0,BB68/BB70)</f>
        <v/>
      </c>
      <c r="BC69" s="39">
        <f>IF(BC70=0,0,BC68/BC70)</f>
        <v/>
      </c>
      <c r="BD69" s="39">
        <f>IF(BD70=0,0,BD68/BD70)</f>
        <v/>
      </c>
      <c r="BE69" s="39">
        <f>IF(BE70=0,0,BE68/BE70)</f>
        <v/>
      </c>
      <c r="BF69" s="39">
        <f>IF(BF70=0,0,BF68/BF70)</f>
        <v/>
      </c>
      <c r="BG69" s="39">
        <f>IF(BG70=0,0,BG68/BG70)</f>
        <v/>
      </c>
      <c r="BH69" s="34">
        <f>IF(BH70=0,0,BH68/BH70)</f>
        <v/>
      </c>
      <c r="BI69" s="34">
        <f>IF(BI70=0,0,BI68/BI70)</f>
        <v/>
      </c>
      <c r="BJ69" s="34">
        <f>IF(BJ70=0,0,BJ68/BJ70)</f>
        <v/>
      </c>
      <c r="BK69" s="34">
        <f>IF(BK70=0,0,BK68/BK70)</f>
        <v/>
      </c>
      <c r="BL69" s="34">
        <f>IF(BL70=0,0,BL68/BL70)</f>
        <v/>
      </c>
      <c r="BM69" s="34">
        <f>IF(BM70=0,0,BM68/BM70)</f>
        <v/>
      </c>
      <c r="BN69" s="34">
        <f>IF(BN70=0,0,BN68/BN70)</f>
        <v/>
      </c>
      <c r="BO69" s="34">
        <f>IF(BO70=0,0,BO68/BO70)</f>
        <v/>
      </c>
      <c r="BP69" s="34">
        <f>IF(BP70=0,0,BP68/BP70)</f>
        <v/>
      </c>
      <c r="BQ69" s="34">
        <f>IF(BQ70=0,0,BQ68/BQ70)</f>
        <v/>
      </c>
      <c r="BR69" s="31" t="inlineStr">
        <is>
          <t>稀释每股收益=属普通股/稀释股本。</t>
        </is>
      </c>
    </row>
    <row r="70">
      <c r="A70" s="4" t="inlineStr">
        <is>
          <t>P&amp;L</t>
        </is>
      </c>
      <c r="B70" s="7" t="inlineStr">
        <is>
          <t>Weighted-avg diluted shares</t>
        </is>
      </c>
      <c r="C70" s="4" t="inlineStr">
        <is>
          <t>k</t>
        </is>
      </c>
      <c r="D70" s="36" t="n">
        <v>32894</v>
      </c>
      <c r="E70" s="36" t="n">
        <v>38966</v>
      </c>
      <c r="F70" s="36" t="n">
        <v>40265</v>
      </c>
      <c r="G70" s="36" t="n">
        <v>39487</v>
      </c>
      <c r="H70" s="36" t="n">
        <v>41025</v>
      </c>
      <c r="I70" s="36" t="n">
        <v>42720</v>
      </c>
      <c r="J70" s="36" t="n">
        <v>42715</v>
      </c>
      <c r="K70" s="36" t="n">
        <v>42643</v>
      </c>
      <c r="L70" s="36" t="n">
        <v>43154</v>
      </c>
      <c r="M70" s="36" t="n">
        <v>43933</v>
      </c>
      <c r="N70" s="37">
        <f>BI70</f>
        <v/>
      </c>
      <c r="O70" s="38">
        <f>BM70</f>
        <v/>
      </c>
      <c r="P70" s="38">
        <f>BQ70</f>
        <v/>
      </c>
      <c r="R70" s="36" t="n">
        <v>32894</v>
      </c>
      <c r="S70" s="36" t="n">
        <v>32894</v>
      </c>
      <c r="T70" s="36" t="n">
        <v>32894</v>
      </c>
      <c r="U70" s="36" t="n">
        <v>32894</v>
      </c>
      <c r="V70" s="36" t="n">
        <v>38966</v>
      </c>
      <c r="W70" s="36" t="n">
        <v>38966</v>
      </c>
      <c r="X70" s="36" t="n">
        <v>38966</v>
      </c>
      <c r="Y70" s="36" t="n">
        <v>38966</v>
      </c>
      <c r="Z70" s="36" t="n">
        <v>40265</v>
      </c>
      <c r="AA70" s="36" t="n">
        <v>40265</v>
      </c>
      <c r="AB70" s="36" t="n">
        <v>40265</v>
      </c>
      <c r="AC70" s="36" t="n">
        <v>40265</v>
      </c>
      <c r="AD70" s="36" t="n">
        <v>39487</v>
      </c>
      <c r="AE70" s="36" t="n">
        <v>39487</v>
      </c>
      <c r="AF70" s="36" t="n">
        <v>39487</v>
      </c>
      <c r="AG70" s="36" t="n">
        <v>39487</v>
      </c>
      <c r="AH70" s="36" t="n">
        <v>41025</v>
      </c>
      <c r="AI70" s="36" t="n">
        <v>41025</v>
      </c>
      <c r="AJ70" s="36" t="n">
        <v>41025</v>
      </c>
      <c r="AK70" s="36" t="n">
        <v>41025</v>
      </c>
      <c r="AL70" s="36" t="n">
        <v>42720</v>
      </c>
      <c r="AM70" s="36" t="n">
        <v>42720</v>
      </c>
      <c r="AN70" s="36" t="n">
        <v>42720</v>
      </c>
      <c r="AO70" s="36" t="n">
        <v>42720</v>
      </c>
      <c r="AP70" s="36" t="n">
        <v>42715</v>
      </c>
      <c r="AQ70" s="36" t="n">
        <v>42715</v>
      </c>
      <c r="AR70" s="36" t="n">
        <v>42715</v>
      </c>
      <c r="AS70" s="36" t="n">
        <v>42715</v>
      </c>
      <c r="AT70" s="36" t="n">
        <v>42643</v>
      </c>
      <c r="AU70" s="36" t="n">
        <v>42643</v>
      </c>
      <c r="AV70" s="36" t="n">
        <v>42643</v>
      </c>
      <c r="AW70" s="36" t="n">
        <v>42643</v>
      </c>
      <c r="AX70" s="36" t="n">
        <v>43154</v>
      </c>
      <c r="AY70" s="36" t="n">
        <v>43154</v>
      </c>
      <c r="AZ70" s="36" t="n">
        <v>43154</v>
      </c>
      <c r="BA70" s="36" t="n">
        <v>43154</v>
      </c>
      <c r="BB70" s="36" t="n">
        <v>43933</v>
      </c>
      <c r="BC70" s="36" t="n">
        <v>43933</v>
      </c>
      <c r="BD70" s="36" t="n">
        <v>43933</v>
      </c>
      <c r="BE70" s="36" t="n">
        <v>43933</v>
      </c>
      <c r="BF70" s="36" t="n">
        <v>55500</v>
      </c>
      <c r="BG70" s="36" t="n">
        <v>65000</v>
      </c>
      <c r="BH70" s="44" t="n">
        <v>65500</v>
      </c>
      <c r="BI70" s="44" t="n">
        <v>65700</v>
      </c>
      <c r="BJ70" s="44" t="n">
        <v>66000</v>
      </c>
      <c r="BK70" s="44" t="n">
        <v>66300</v>
      </c>
      <c r="BL70" s="44" t="n">
        <v>66600</v>
      </c>
      <c r="BM70" s="44" t="n">
        <v>66900</v>
      </c>
      <c r="BN70" s="44" t="n">
        <v>67200</v>
      </c>
      <c r="BO70" s="44" t="n">
        <v>67500</v>
      </c>
      <c r="BP70" s="44" t="n">
        <v>67800</v>
      </c>
      <c r="BQ70" s="44" t="n">
        <v>68100</v>
      </c>
      <c r="BR70" s="31" t="inlineStr">
        <is>
          <t>稀释加权平均股本。</t>
        </is>
      </c>
    </row>
    <row r="72">
      <c r="A72" s="53" t="inlineStr">
        <is>
          <t>IV.  CONSOLIDATED BALANCE SHEET  （资产负债表）</t>
        </is>
      </c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inlineStr"/>
    </row>
    <row r="73">
      <c r="A73" s="4" t="inlineStr">
        <is>
          <t>BS</t>
        </is>
      </c>
      <c r="B73" s="7" t="inlineStr">
        <is>
          <t>Cash &amp; cash equivalents</t>
        </is>
      </c>
      <c r="C73" s="4" t="inlineStr">
        <is>
          <t>$000</t>
        </is>
      </c>
      <c r="D73" s="52" t="n">
        <v>36152</v>
      </c>
      <c r="E73" s="52" t="n">
        <v>44352</v>
      </c>
      <c r="F73" s="52" t="n">
        <v>16526</v>
      </c>
      <c r="G73" s="52" t="n">
        <v>26892</v>
      </c>
      <c r="H73" s="52" t="n">
        <v>72602</v>
      </c>
      <c r="I73" s="52" t="n">
        <v>36763</v>
      </c>
      <c r="J73" s="52" t="n">
        <v>34948</v>
      </c>
      <c r="K73" s="52" t="n">
        <v>37752</v>
      </c>
      <c r="L73" s="52" t="n">
        <v>22833</v>
      </c>
      <c r="M73" s="52" t="n">
        <v>120266</v>
      </c>
      <c r="N73" s="37">
        <f>BI73</f>
        <v/>
      </c>
      <c r="O73" s="38">
        <f>BM73</f>
        <v/>
      </c>
      <c r="P73" s="38">
        <f>BQ73</f>
        <v/>
      </c>
      <c r="R73" s="52" t="n">
        <v>25067</v>
      </c>
      <c r="S73" s="52" t="n">
        <v>26115</v>
      </c>
      <c r="T73" s="52" t="n">
        <v>29661</v>
      </c>
      <c r="U73" s="52" t="n">
        <v>36152</v>
      </c>
      <c r="V73" s="52" t="n">
        <v>56512</v>
      </c>
      <c r="W73" s="52" t="n">
        <v>56483</v>
      </c>
      <c r="X73" s="52" t="n">
        <v>48078</v>
      </c>
      <c r="Y73" s="52" t="n">
        <v>44352</v>
      </c>
      <c r="Z73" s="52" t="n">
        <v>39189</v>
      </c>
      <c r="AA73" s="52" t="n">
        <v>29698</v>
      </c>
      <c r="AB73" s="52" t="n">
        <v>18035</v>
      </c>
      <c r="AC73" s="52" t="n">
        <v>16526</v>
      </c>
      <c r="AD73" s="52" t="n">
        <v>21060</v>
      </c>
      <c r="AE73" s="52" t="n">
        <v>28732</v>
      </c>
      <c r="AF73" s="52" t="n">
        <v>27837</v>
      </c>
      <c r="AG73" s="52" t="n">
        <v>26892</v>
      </c>
      <c r="AH73" s="52" t="n">
        <v>20061</v>
      </c>
      <c r="AI73" s="52" t="n">
        <v>26515</v>
      </c>
      <c r="AJ73" s="52" t="n">
        <v>22384</v>
      </c>
      <c r="AK73" s="52" t="n">
        <v>72602</v>
      </c>
      <c r="AL73" s="52" t="n">
        <v>61206</v>
      </c>
      <c r="AM73" s="52" t="n">
        <v>52783</v>
      </c>
      <c r="AN73" s="52" t="n">
        <v>43608</v>
      </c>
      <c r="AO73" s="52" t="n">
        <v>36763</v>
      </c>
      <c r="AP73" s="52" t="n">
        <v>29494</v>
      </c>
      <c r="AQ73" s="52" t="n">
        <v>41043</v>
      </c>
      <c r="AR73" s="52" t="n">
        <v>32918</v>
      </c>
      <c r="AS73" s="52" t="n">
        <v>34948</v>
      </c>
      <c r="AT73" s="52" t="n">
        <v>35436</v>
      </c>
      <c r="AU73" s="52" t="n">
        <v>30092</v>
      </c>
      <c r="AV73" s="52" t="n">
        <v>28522</v>
      </c>
      <c r="AW73" s="52" t="n">
        <v>37752</v>
      </c>
      <c r="AX73" s="52" t="n">
        <v>25793</v>
      </c>
      <c r="AY73" s="52" t="n">
        <v>27808</v>
      </c>
      <c r="AZ73" s="52" t="n">
        <v>24898</v>
      </c>
      <c r="BA73" s="52" t="n">
        <v>22833</v>
      </c>
      <c r="BB73" s="52" t="n">
        <v>31584</v>
      </c>
      <c r="BC73" s="52" t="n">
        <v>27007</v>
      </c>
      <c r="BD73" s="52" t="n">
        <v>23110</v>
      </c>
      <c r="BE73" s="52" t="n">
        <v>120266</v>
      </c>
      <c r="BF73" s="52" t="n">
        <v>41769</v>
      </c>
      <c r="BG73" s="52" t="n">
        <v>412167</v>
      </c>
      <c r="BH73" s="45">
        <f>BH117</f>
        <v/>
      </c>
      <c r="BI73" s="45">
        <f>BI117</f>
        <v/>
      </c>
      <c r="BJ73" s="45">
        <f>BJ117</f>
        <v/>
      </c>
      <c r="BK73" s="45">
        <f>BK117</f>
        <v/>
      </c>
      <c r="BL73" s="45">
        <f>BL117</f>
        <v/>
      </c>
      <c r="BM73" s="45">
        <f>BM117</f>
        <v/>
      </c>
      <c r="BN73" s="45">
        <f>BN117</f>
        <v/>
      </c>
      <c r="BO73" s="45">
        <f>BO117</f>
        <v/>
      </c>
      <c r="BP73" s="45">
        <f>BP117</f>
        <v/>
      </c>
      <c r="BQ73" s="45">
        <f>BQ117</f>
        <v/>
      </c>
      <c r="BR73" s="31" t="inlineStr">
        <is>
          <t>货币资金。历史硬编码；预测=上期现金+本期ΔCash（现金流量表）。Q2'26 $412.2m（4月增发后）。</t>
        </is>
      </c>
    </row>
    <row r="74">
      <c r="A74" s="4" t="inlineStr">
        <is>
          <t>BS</t>
        </is>
      </c>
      <c r="B74" s="7" t="inlineStr">
        <is>
          <t>Accounts receivable</t>
        </is>
      </c>
      <c r="C74" s="4" t="inlineStr">
        <is>
          <t>$000</t>
        </is>
      </c>
      <c r="D74" s="36" t="n">
        <v>14453</v>
      </c>
      <c r="E74" s="36" t="n">
        <v>22778</v>
      </c>
      <c r="F74" s="36" t="n">
        <v>19586</v>
      </c>
      <c r="G74" s="36" t="n">
        <v>19031</v>
      </c>
      <c r="H74" s="36" t="n">
        <v>24558</v>
      </c>
      <c r="I74" s="36" t="n">
        <v>34839</v>
      </c>
      <c r="J74" s="36" t="n">
        <v>29252</v>
      </c>
      <c r="K74" s="36" t="n">
        <v>19256</v>
      </c>
      <c r="L74" s="36" t="n">
        <v>25640</v>
      </c>
      <c r="M74" s="36" t="n">
        <v>26849</v>
      </c>
      <c r="N74" s="37">
        <f>BI74</f>
        <v/>
      </c>
      <c r="O74" s="38">
        <f>BM74</f>
        <v/>
      </c>
      <c r="P74" s="38">
        <f>BQ74</f>
        <v/>
      </c>
      <c r="R74" s="36" t="n">
        <v>19711</v>
      </c>
      <c r="S74" s="36" t="n">
        <v>18036</v>
      </c>
      <c r="T74" s="36" t="n">
        <v>18380</v>
      </c>
      <c r="U74" s="36" t="n">
        <v>14453</v>
      </c>
      <c r="V74" s="36" t="n">
        <v>17649</v>
      </c>
      <c r="W74" s="36" t="n">
        <v>18262</v>
      </c>
      <c r="X74" s="36" t="n">
        <v>20877</v>
      </c>
      <c r="Y74" s="36" t="n">
        <v>22778</v>
      </c>
      <c r="Z74" s="36" t="n">
        <v>21347</v>
      </c>
      <c r="AA74" s="36" t="n">
        <v>22516</v>
      </c>
      <c r="AB74" s="36" t="n">
        <v>23308</v>
      </c>
      <c r="AC74" s="36" t="n">
        <v>19586</v>
      </c>
      <c r="AD74" s="36" t="n">
        <v>19605</v>
      </c>
      <c r="AE74" s="36" t="n">
        <v>18275</v>
      </c>
      <c r="AF74" s="36" t="n">
        <v>17450</v>
      </c>
      <c r="AG74" s="36" t="n">
        <v>19031</v>
      </c>
      <c r="AH74" s="36" t="n">
        <v>23613</v>
      </c>
      <c r="AI74" s="36" t="n">
        <v>19760</v>
      </c>
      <c r="AJ74" s="36" t="n">
        <v>22653</v>
      </c>
      <c r="AK74" s="36" t="n">
        <v>24558</v>
      </c>
      <c r="AL74" s="36" t="n">
        <v>28423</v>
      </c>
      <c r="AM74" s="36" t="n">
        <v>33473</v>
      </c>
      <c r="AN74" s="36" t="n">
        <v>36584</v>
      </c>
      <c r="AO74" s="36" t="n">
        <v>34839</v>
      </c>
      <c r="AP74" s="36" t="n">
        <v>39848</v>
      </c>
      <c r="AQ74" s="36" t="n">
        <v>38751</v>
      </c>
      <c r="AR74" s="36" t="n">
        <v>38131</v>
      </c>
      <c r="AS74" s="36" t="n">
        <v>29252</v>
      </c>
      <c r="AT74" s="36" t="n">
        <v>21345</v>
      </c>
      <c r="AU74" s="36" t="n">
        <v>19857</v>
      </c>
      <c r="AV74" s="36" t="n">
        <v>18883</v>
      </c>
      <c r="AW74" s="36" t="n">
        <v>19256</v>
      </c>
      <c r="AX74" s="36" t="n">
        <v>25058</v>
      </c>
      <c r="AY74" s="36" t="n">
        <v>27163</v>
      </c>
      <c r="AZ74" s="36" t="n">
        <v>27970</v>
      </c>
      <c r="BA74" s="36" t="n">
        <v>25640</v>
      </c>
      <c r="BB74" s="36" t="n">
        <v>22863</v>
      </c>
      <c r="BC74" s="36" t="n">
        <v>22794</v>
      </c>
      <c r="BD74" s="36" t="n">
        <v>33837</v>
      </c>
      <c r="BE74" s="36" t="n">
        <v>26849</v>
      </c>
      <c r="BF74" s="36" t="n">
        <v>32016</v>
      </c>
      <c r="BG74" s="36" t="n">
        <v>36675</v>
      </c>
      <c r="BH74" s="38">
        <f>BH41/BH$11*BH50</f>
        <v/>
      </c>
      <c r="BI74" s="38">
        <f>BI41/BI$11*BI50</f>
        <v/>
      </c>
      <c r="BJ74" s="38">
        <f>BJ41/BJ$11*BJ50</f>
        <v/>
      </c>
      <c r="BK74" s="38">
        <f>BK41/BK$11*BK50</f>
        <v/>
      </c>
      <c r="BL74" s="38">
        <f>BL41/BL$11*BL50</f>
        <v/>
      </c>
      <c r="BM74" s="38">
        <f>BM41/BM$11*BM50</f>
        <v/>
      </c>
      <c r="BN74" s="38">
        <f>BN41/BN$11*BN50</f>
        <v/>
      </c>
      <c r="BO74" s="38">
        <f>BO41/BO$11*BO50</f>
        <v/>
      </c>
      <c r="BP74" s="38">
        <f>BP41/BP$11*BP50</f>
        <v/>
      </c>
      <c r="BQ74" s="38">
        <f>BQ41/BQ$11*BQ50</f>
        <v/>
      </c>
      <c r="BR74" s="31" t="inlineStr">
        <is>
          <t>应收账款。预测=DSO/当期天数×收入。</t>
        </is>
      </c>
    </row>
    <row r="75">
      <c r="A75" s="4" t="inlineStr">
        <is>
          <t>BS</t>
        </is>
      </c>
      <c r="B75" s="7" t="inlineStr">
        <is>
          <t>Inventories</t>
        </is>
      </c>
      <c r="C75" s="4" t="inlineStr">
        <is>
          <t>$000</t>
        </is>
      </c>
      <c r="D75" s="36" t="n">
        <v>40152</v>
      </c>
      <c r="E75" s="36" t="n">
        <v>45840</v>
      </c>
      <c r="F75" s="36" t="n">
        <v>58571</v>
      </c>
      <c r="G75" s="36" t="n">
        <v>49152</v>
      </c>
      <c r="H75" s="36" t="n">
        <v>51515</v>
      </c>
      <c r="I75" s="36" t="n">
        <v>65912</v>
      </c>
      <c r="J75" s="36" t="n">
        <v>89629</v>
      </c>
      <c r="K75" s="36" t="n">
        <v>86503</v>
      </c>
      <c r="L75" s="36" t="n">
        <v>85077</v>
      </c>
      <c r="M75" s="36" t="n">
        <v>81651</v>
      </c>
      <c r="N75" s="37">
        <f>BI75</f>
        <v/>
      </c>
      <c r="O75" s="38">
        <f>BM75</f>
        <v/>
      </c>
      <c r="P75" s="38">
        <f>BQ75</f>
        <v/>
      </c>
      <c r="R75" s="36" t="n">
        <v>38822</v>
      </c>
      <c r="S75" s="36" t="n">
        <v>38625</v>
      </c>
      <c r="T75" s="36" t="n">
        <v>38731</v>
      </c>
      <c r="U75" s="36" t="n">
        <v>40152</v>
      </c>
      <c r="V75" s="36" t="n">
        <v>39195</v>
      </c>
      <c r="W75" s="36" t="n">
        <v>40627</v>
      </c>
      <c r="X75" s="36" t="n">
        <v>40768</v>
      </c>
      <c r="Y75" s="36" t="n">
        <v>45840</v>
      </c>
      <c r="Z75" s="36" t="n">
        <v>51122</v>
      </c>
      <c r="AA75" s="36" t="n">
        <v>57038</v>
      </c>
      <c r="AB75" s="36" t="n">
        <v>58717</v>
      </c>
      <c r="AC75" s="36" t="n">
        <v>58571</v>
      </c>
      <c r="AD75" s="36" t="n">
        <v>53025</v>
      </c>
      <c r="AE75" s="36" t="n">
        <v>50326</v>
      </c>
      <c r="AF75" s="36" t="n">
        <v>49071</v>
      </c>
      <c r="AG75" s="36" t="n">
        <v>49152</v>
      </c>
      <c r="AH75" s="36" t="n">
        <v>48253</v>
      </c>
      <c r="AI75" s="36" t="n">
        <v>49586</v>
      </c>
      <c r="AJ75" s="36" t="n">
        <v>48357</v>
      </c>
      <c r="AK75" s="36" t="n">
        <v>51515</v>
      </c>
      <c r="AL75" s="36" t="n">
        <v>54681</v>
      </c>
      <c r="AM75" s="36" t="n">
        <v>58926</v>
      </c>
      <c r="AN75" s="36" t="n">
        <v>60683</v>
      </c>
      <c r="AO75" s="36" t="n">
        <v>65912</v>
      </c>
      <c r="AP75" s="36" t="n">
        <v>68821</v>
      </c>
      <c r="AQ75" s="36" t="n">
        <v>77280</v>
      </c>
      <c r="AR75" s="36" t="n">
        <v>88496</v>
      </c>
      <c r="AS75" s="36" t="n">
        <v>89629</v>
      </c>
      <c r="AT75" s="36" t="n">
        <v>91678</v>
      </c>
      <c r="AU75" s="36" t="n">
        <v>87063</v>
      </c>
      <c r="AV75" s="36" t="n">
        <v>86383</v>
      </c>
      <c r="AW75" s="36" t="n">
        <v>86503</v>
      </c>
      <c r="AX75" s="36" t="n">
        <v>85943</v>
      </c>
      <c r="AY75" s="36" t="n">
        <v>85774</v>
      </c>
      <c r="AZ75" s="36" t="n">
        <v>86109</v>
      </c>
      <c r="BA75" s="36" t="n">
        <v>85077</v>
      </c>
      <c r="BB75" s="36" t="n">
        <v>80409</v>
      </c>
      <c r="BC75" s="36" t="n">
        <v>80063</v>
      </c>
      <c r="BD75" s="36" t="n">
        <v>77656</v>
      </c>
      <c r="BE75" s="36" t="n">
        <v>81651</v>
      </c>
      <c r="BF75" s="36" t="n">
        <v>90168</v>
      </c>
      <c r="BG75" s="36" t="n">
        <v>96322</v>
      </c>
      <c r="BH75" s="38">
        <f>BH42/BH$11*BH51</f>
        <v/>
      </c>
      <c r="BI75" s="38">
        <f>BI42/BI$11*BI51</f>
        <v/>
      </c>
      <c r="BJ75" s="38">
        <f>BJ42/BJ$11*BJ51</f>
        <v/>
      </c>
      <c r="BK75" s="38">
        <f>BK42/BK$11*BK51</f>
        <v/>
      </c>
      <c r="BL75" s="38">
        <f>BL42/BL$11*BL51</f>
        <v/>
      </c>
      <c r="BM75" s="38">
        <f>BM42/BM$11*BM51</f>
        <v/>
      </c>
      <c r="BN75" s="38">
        <f>BN42/BN$11*BN51</f>
        <v/>
      </c>
      <c r="BO75" s="38">
        <f>BO42/BO$11*BO51</f>
        <v/>
      </c>
      <c r="BP75" s="38">
        <f>BP42/BP$11*BP51</f>
        <v/>
      </c>
      <c r="BQ75" s="38">
        <f>BQ42/BQ$11*BQ51</f>
        <v/>
      </c>
      <c r="BR75" s="31" t="inlineStr">
        <is>
          <t>存货。预测=DIO/当期天数×COGS。</t>
        </is>
      </c>
    </row>
    <row r="76">
      <c r="A76" s="4" t="inlineStr">
        <is>
          <t>BS</t>
        </is>
      </c>
      <c r="B76" s="7" t="inlineStr">
        <is>
          <t>Other current assets (restricted cash, ST inv, prepaids)</t>
        </is>
      </c>
      <c r="C76" s="4" t="inlineStr">
        <is>
          <t>$000</t>
        </is>
      </c>
      <c r="D76" s="36" t="n">
        <v>16529</v>
      </c>
      <c r="E76" s="36" t="n">
        <v>27551</v>
      </c>
      <c r="F76" s="36" t="n">
        <v>33857</v>
      </c>
      <c r="G76" s="36" t="n">
        <v>18130</v>
      </c>
      <c r="H76" s="36" t="n">
        <v>15843</v>
      </c>
      <c r="I76" s="36" t="n">
        <v>22671</v>
      </c>
      <c r="J76" s="36" t="n">
        <v>29716</v>
      </c>
      <c r="K76" s="36" t="n">
        <v>27145</v>
      </c>
      <c r="L76" s="36" t="n">
        <v>24722</v>
      </c>
      <c r="M76" s="36" t="n">
        <v>17790</v>
      </c>
      <c r="N76" s="37">
        <f>BI76</f>
        <v/>
      </c>
      <c r="O76" s="38">
        <f>BM76</f>
        <v/>
      </c>
      <c r="P76" s="38">
        <f>BQ76</f>
        <v/>
      </c>
      <c r="R76" s="36" t="n">
        <v>13439</v>
      </c>
      <c r="S76" s="36" t="n">
        <v>15561</v>
      </c>
      <c r="T76" s="36" t="n">
        <v>14828</v>
      </c>
      <c r="U76" s="36" t="n">
        <v>16529</v>
      </c>
      <c r="V76" s="36" t="n">
        <v>25305</v>
      </c>
      <c r="W76" s="36" t="n">
        <v>27873</v>
      </c>
      <c r="X76" s="36" t="n">
        <v>26263</v>
      </c>
      <c r="Y76" s="36" t="n">
        <v>27551</v>
      </c>
      <c r="Z76" s="36" t="n">
        <v>21899</v>
      </c>
      <c r="AA76" s="36" t="n">
        <v>28218</v>
      </c>
      <c r="AB76" s="36" t="n">
        <v>32535</v>
      </c>
      <c r="AC76" s="36" t="n">
        <v>33857</v>
      </c>
      <c r="AD76" s="36" t="n">
        <v>24452</v>
      </c>
      <c r="AE76" s="36" t="n">
        <v>14370</v>
      </c>
      <c r="AF76" s="36" t="n">
        <v>14365</v>
      </c>
      <c r="AG76" s="36" t="n">
        <v>18130</v>
      </c>
      <c r="AH76" s="36" t="n">
        <v>19335</v>
      </c>
      <c r="AI76" s="36" t="n">
        <v>14868</v>
      </c>
      <c r="AJ76" s="36" t="n">
        <v>15154</v>
      </c>
      <c r="AK76" s="36" t="n">
        <v>15843</v>
      </c>
      <c r="AL76" s="36" t="n">
        <v>18640</v>
      </c>
      <c r="AM76" s="36" t="n">
        <v>19260</v>
      </c>
      <c r="AN76" s="36" t="n">
        <v>18743</v>
      </c>
      <c r="AO76" s="36" t="n">
        <v>22671</v>
      </c>
      <c r="AP76" s="36" t="n">
        <v>21901</v>
      </c>
      <c r="AQ76" s="36" t="n">
        <v>20306</v>
      </c>
      <c r="AR76" s="36" t="n">
        <v>21911</v>
      </c>
      <c r="AS76" s="36" t="n">
        <v>29716</v>
      </c>
      <c r="AT76" s="36" t="n">
        <v>28543</v>
      </c>
      <c r="AU76" s="36" t="n">
        <v>28458</v>
      </c>
      <c r="AV76" s="36" t="n">
        <v>26522</v>
      </c>
      <c r="AW76" s="36" t="n">
        <v>27145</v>
      </c>
      <c r="AX76" s="36" t="n">
        <v>26948</v>
      </c>
      <c r="AY76" s="36" t="n">
        <v>26651</v>
      </c>
      <c r="AZ76" s="36" t="n">
        <v>28884</v>
      </c>
      <c r="BA76" s="36" t="n">
        <v>24722</v>
      </c>
      <c r="BB76" s="36" t="n">
        <v>14675</v>
      </c>
      <c r="BC76" s="36" t="n">
        <v>15096</v>
      </c>
      <c r="BD76" s="36" t="n">
        <v>15152</v>
      </c>
      <c r="BE76" s="36" t="n">
        <v>17790</v>
      </c>
      <c r="BF76" s="36" t="n">
        <v>89822</v>
      </c>
      <c r="BG76" s="36" t="n">
        <v>53639</v>
      </c>
      <c r="BH76" s="38">
        <f>30/BH$11*BH50+33050</f>
        <v/>
      </c>
      <c r="BI76" s="38">
        <f>30/BI$11*BI50+33050</f>
        <v/>
      </c>
      <c r="BJ76" s="38">
        <f>30/BJ$11*BJ50+33050</f>
        <v/>
      </c>
      <c r="BK76" s="38">
        <f>30/BK$11*BK50+33050</f>
        <v/>
      </c>
      <c r="BL76" s="38">
        <f>30/BL$11*BL50+33050</f>
        <v/>
      </c>
      <c r="BM76" s="38">
        <f>30/BM$11*BM50+33050</f>
        <v/>
      </c>
      <c r="BN76" s="38">
        <f>30/BN$11*BN50+33050</f>
        <v/>
      </c>
      <c r="BO76" s="38">
        <f>30/BO$11*BO50+33050</f>
        <v/>
      </c>
      <c r="BP76" s="38">
        <f>30/BP$11*BP50+33050</f>
        <v/>
      </c>
      <c r="BQ76" s="38">
        <f>30/BQ$11*BQ50+33050</f>
        <v/>
      </c>
      <c r="BR76" s="31" t="inlineStr">
        <is>
          <t>其他流动资产=流动资产−现金−AR−存货。含restricted cash、短期投资、预付。Q2'26含restricted ~$33m。预测=30天收入。</t>
        </is>
      </c>
    </row>
    <row r="77">
      <c r="A77" s="4" t="inlineStr">
        <is>
          <t>BS</t>
        </is>
      </c>
      <c r="B77" s="7" t="inlineStr">
        <is>
          <t>Total current assets</t>
        </is>
      </c>
      <c r="C77" s="4" t="inlineStr">
        <is>
          <t>$000</t>
        </is>
      </c>
      <c r="D77" s="45">
        <f>D73+D74+D75+D76</f>
        <v/>
      </c>
      <c r="E77" s="45">
        <f>E73+E74+E75+E76</f>
        <v/>
      </c>
      <c r="F77" s="45">
        <f>F73+F74+F75+F76</f>
        <v/>
      </c>
      <c r="G77" s="45">
        <f>G73+G74+G75+G76</f>
        <v/>
      </c>
      <c r="H77" s="45">
        <f>H73+H74+H75+H76</f>
        <v/>
      </c>
      <c r="I77" s="45">
        <f>I73+I74+I75+I76</f>
        <v/>
      </c>
      <c r="J77" s="45">
        <f>J73+J74+J75+J76</f>
        <v/>
      </c>
      <c r="K77" s="45">
        <f>K73+K74+K75+K76</f>
        <v/>
      </c>
      <c r="L77" s="45">
        <f>L73+L74+L75+L76</f>
        <v/>
      </c>
      <c r="M77" s="45">
        <f>M73+M74+M75+M76</f>
        <v/>
      </c>
      <c r="N77" s="37">
        <f>BI77</f>
        <v/>
      </c>
      <c r="O77" s="38">
        <f>BM77</f>
        <v/>
      </c>
      <c r="P77" s="38">
        <f>BQ77</f>
        <v/>
      </c>
      <c r="R77" s="45">
        <f>R73+R74+R75+R76</f>
        <v/>
      </c>
      <c r="S77" s="45">
        <f>S73+S74+S75+S76</f>
        <v/>
      </c>
      <c r="T77" s="45">
        <f>T73+T74+T75+T76</f>
        <v/>
      </c>
      <c r="U77" s="45">
        <f>U73+U74+U75+U76</f>
        <v/>
      </c>
      <c r="V77" s="45">
        <f>V73+V74+V75+V76</f>
        <v/>
      </c>
      <c r="W77" s="45">
        <f>W73+W74+W75+W76</f>
        <v/>
      </c>
      <c r="X77" s="45">
        <f>X73+X74+X75+X76</f>
        <v/>
      </c>
      <c r="Y77" s="45">
        <f>Y73+Y74+Y75+Y76</f>
        <v/>
      </c>
      <c r="Z77" s="45">
        <f>Z73+Z74+Z75+Z76</f>
        <v/>
      </c>
      <c r="AA77" s="45">
        <f>AA73+AA74+AA75+AA76</f>
        <v/>
      </c>
      <c r="AB77" s="45">
        <f>AB73+AB74+AB75+AB76</f>
        <v/>
      </c>
      <c r="AC77" s="45">
        <f>AC73+AC74+AC75+AC76</f>
        <v/>
      </c>
      <c r="AD77" s="45">
        <f>AD73+AD74+AD75+AD76</f>
        <v/>
      </c>
      <c r="AE77" s="45">
        <f>AE73+AE74+AE75+AE76</f>
        <v/>
      </c>
      <c r="AF77" s="45">
        <f>AF73+AF74+AF75+AF76</f>
        <v/>
      </c>
      <c r="AG77" s="45">
        <f>AG73+AG74+AG75+AG76</f>
        <v/>
      </c>
      <c r="AH77" s="45">
        <f>AH73+AH74+AH75+AH76</f>
        <v/>
      </c>
      <c r="AI77" s="45">
        <f>AI73+AI74+AI75+AI76</f>
        <v/>
      </c>
      <c r="AJ77" s="45">
        <f>AJ73+AJ74+AJ75+AJ76</f>
        <v/>
      </c>
      <c r="AK77" s="45">
        <f>AK73+AK74+AK75+AK76</f>
        <v/>
      </c>
      <c r="AL77" s="45">
        <f>AL73+AL74+AL75+AL76</f>
        <v/>
      </c>
      <c r="AM77" s="45">
        <f>AM73+AM74+AM75+AM76</f>
        <v/>
      </c>
      <c r="AN77" s="45">
        <f>AN73+AN74+AN75+AN76</f>
        <v/>
      </c>
      <c r="AO77" s="45">
        <f>AO73+AO74+AO75+AO76</f>
        <v/>
      </c>
      <c r="AP77" s="45">
        <f>AP73+AP74+AP75+AP76</f>
        <v/>
      </c>
      <c r="AQ77" s="45">
        <f>AQ73+AQ74+AQ75+AQ76</f>
        <v/>
      </c>
      <c r="AR77" s="45">
        <f>AR73+AR74+AR75+AR76</f>
        <v/>
      </c>
      <c r="AS77" s="45">
        <f>AS73+AS74+AS75+AS76</f>
        <v/>
      </c>
      <c r="AT77" s="45">
        <f>AT73+AT74+AT75+AT76</f>
        <v/>
      </c>
      <c r="AU77" s="45">
        <f>AU73+AU74+AU75+AU76</f>
        <v/>
      </c>
      <c r="AV77" s="45">
        <f>AV73+AV74+AV75+AV76</f>
        <v/>
      </c>
      <c r="AW77" s="45">
        <f>AW73+AW74+AW75+AW76</f>
        <v/>
      </c>
      <c r="AX77" s="45">
        <f>AX73+AX74+AX75+AX76</f>
        <v/>
      </c>
      <c r="AY77" s="45">
        <f>AY73+AY74+AY75+AY76</f>
        <v/>
      </c>
      <c r="AZ77" s="45">
        <f>AZ73+AZ74+AZ75+AZ76</f>
        <v/>
      </c>
      <c r="BA77" s="45">
        <f>BA73+BA74+BA75+BA76</f>
        <v/>
      </c>
      <c r="BB77" s="45">
        <f>BB73+BB74+BB75+BB76</f>
        <v/>
      </c>
      <c r="BC77" s="45">
        <f>BC73+BC74+BC75+BC76</f>
        <v/>
      </c>
      <c r="BD77" s="45">
        <f>BD73+BD74+BD75+BD76</f>
        <v/>
      </c>
      <c r="BE77" s="45">
        <f>BE73+BE74+BE75+BE76</f>
        <v/>
      </c>
      <c r="BF77" s="45">
        <f>BF73+BF74+BF75+BF76</f>
        <v/>
      </c>
      <c r="BG77" s="45">
        <f>BG73+BG74+BG75+BG76</f>
        <v/>
      </c>
      <c r="BH77" s="45">
        <f>BH73+BH74+BH75+BH76</f>
        <v/>
      </c>
      <c r="BI77" s="45">
        <f>BI73+BI74+BI75+BI76</f>
        <v/>
      </c>
      <c r="BJ77" s="45">
        <f>BJ73+BJ74+BJ75+BJ76</f>
        <v/>
      </c>
      <c r="BK77" s="45">
        <f>BK73+BK74+BK75+BK76</f>
        <v/>
      </c>
      <c r="BL77" s="45">
        <f>BL73+BL74+BL75+BL76</f>
        <v/>
      </c>
      <c r="BM77" s="45">
        <f>BM73+BM74+BM75+BM76</f>
        <v/>
      </c>
      <c r="BN77" s="45">
        <f>BN73+BN74+BN75+BN76</f>
        <v/>
      </c>
      <c r="BO77" s="45">
        <f>BO73+BO74+BO75+BO76</f>
        <v/>
      </c>
      <c r="BP77" s="45">
        <f>BP73+BP74+BP75+BP76</f>
        <v/>
      </c>
      <c r="BQ77" s="45">
        <f>BQ73+BQ74+BQ75+BQ76</f>
        <v/>
      </c>
      <c r="BR77" s="31" t="inlineStr">
        <is>
          <t>流动资产合计（公式）。</t>
        </is>
      </c>
    </row>
    <row r="78">
      <c r="A78" s="4" t="inlineStr">
        <is>
          <t>BS</t>
        </is>
      </c>
      <c r="B78" s="7" t="inlineStr">
        <is>
          <t>Property, plant &amp; equipment, net</t>
        </is>
      </c>
      <c r="C78" s="4" t="inlineStr">
        <is>
          <t>$000</t>
        </is>
      </c>
      <c r="D78" s="36" t="n">
        <v>27805</v>
      </c>
      <c r="E78" s="36" t="n">
        <v>46530</v>
      </c>
      <c r="F78" s="36" t="n">
        <v>82280</v>
      </c>
      <c r="G78" s="36" t="n">
        <v>97403</v>
      </c>
      <c r="H78" s="36" t="n">
        <v>115825</v>
      </c>
      <c r="I78" s="36" t="n">
        <v>142415</v>
      </c>
      <c r="J78" s="36" t="n">
        <v>161017</v>
      </c>
      <c r="K78" s="36" t="n">
        <v>166348</v>
      </c>
      <c r="L78" s="36" t="n">
        <v>159721</v>
      </c>
      <c r="M78" s="36" t="n">
        <v>161860</v>
      </c>
      <c r="N78" s="37">
        <f>BI78</f>
        <v/>
      </c>
      <c r="O78" s="38">
        <f>BM78</f>
        <v/>
      </c>
      <c r="P78" s="38">
        <f>BQ78</f>
        <v/>
      </c>
      <c r="R78" s="36" t="n">
        <v>31141</v>
      </c>
      <c r="S78" s="36" t="n">
        <v>30178</v>
      </c>
      <c r="T78" s="36" t="n">
        <v>29385</v>
      </c>
      <c r="U78" s="36" t="n">
        <v>27805</v>
      </c>
      <c r="V78" s="36" t="n">
        <v>27141</v>
      </c>
      <c r="W78" s="36" t="n">
        <v>27945</v>
      </c>
      <c r="X78" s="36" t="n">
        <v>42255</v>
      </c>
      <c r="Y78" s="36" t="n">
        <v>46530</v>
      </c>
      <c r="Z78" s="36" t="n">
        <v>58763</v>
      </c>
      <c r="AA78" s="36" t="n">
        <v>65174</v>
      </c>
      <c r="AB78" s="36" t="n">
        <v>74754</v>
      </c>
      <c r="AC78" s="36" t="n">
        <v>82280</v>
      </c>
      <c r="AD78" s="36" t="n">
        <v>84975</v>
      </c>
      <c r="AE78" s="36" t="n">
        <v>87613</v>
      </c>
      <c r="AF78" s="36" t="n">
        <v>89680</v>
      </c>
      <c r="AG78" s="36" t="n">
        <v>97403</v>
      </c>
      <c r="AH78" s="36" t="n">
        <v>97490</v>
      </c>
      <c r="AI78" s="36" t="n">
        <v>101031</v>
      </c>
      <c r="AJ78" s="36" t="n">
        <v>108295</v>
      </c>
      <c r="AK78" s="36" t="n">
        <v>115825</v>
      </c>
      <c r="AL78" s="36" t="n">
        <v>119878</v>
      </c>
      <c r="AM78" s="36" t="n">
        <v>127241</v>
      </c>
      <c r="AN78" s="36" t="n">
        <v>131617</v>
      </c>
      <c r="AO78" s="36" t="n">
        <v>142415</v>
      </c>
      <c r="AP78" s="36" t="n">
        <v>147286</v>
      </c>
      <c r="AQ78" s="36" t="n">
        <v>152882</v>
      </c>
      <c r="AR78" s="36" t="n">
        <v>152727</v>
      </c>
      <c r="AS78" s="36" t="n">
        <v>161017</v>
      </c>
      <c r="AT78" s="36" t="n">
        <v>162524</v>
      </c>
      <c r="AU78" s="36" t="n">
        <v>158672</v>
      </c>
      <c r="AV78" s="36" t="n">
        <v>158773</v>
      </c>
      <c r="AW78" s="36" t="n">
        <v>166348</v>
      </c>
      <c r="AX78" s="36" t="n">
        <v>163122</v>
      </c>
      <c r="AY78" s="36" t="n">
        <v>161332</v>
      </c>
      <c r="AZ78" s="36" t="n">
        <v>166459</v>
      </c>
      <c r="BA78" s="36" t="n">
        <v>159721</v>
      </c>
      <c r="BB78" s="36" t="n">
        <v>159035</v>
      </c>
      <c r="BC78" s="36" t="n">
        <v>159714</v>
      </c>
      <c r="BD78" s="36" t="n">
        <v>159283</v>
      </c>
      <c r="BE78" s="36" t="n">
        <v>161860</v>
      </c>
      <c r="BF78" s="36" t="n">
        <v>164622</v>
      </c>
      <c r="BG78" s="36" t="n">
        <v>174924</v>
      </c>
      <c r="BH78" s="38">
        <f>BG78+BH44-BH45</f>
        <v/>
      </c>
      <c r="BI78" s="38">
        <f>BH78+BI44-BI45</f>
        <v/>
      </c>
      <c r="BJ78" s="38">
        <f>BI78+BJ44-BJ45</f>
        <v/>
      </c>
      <c r="BK78" s="38">
        <f>BJ78+BK44-BK45</f>
        <v/>
      </c>
      <c r="BL78" s="38">
        <f>BK78+BL44-BL45</f>
        <v/>
      </c>
      <c r="BM78" s="38">
        <f>BL78+BM44-BM45</f>
        <v/>
      </c>
      <c r="BN78" s="38">
        <f>BM78+BN44-BN45</f>
        <v/>
      </c>
      <c r="BO78" s="38">
        <f>BN78+BO44-BO45</f>
        <v/>
      </c>
      <c r="BP78" s="38">
        <f>BO78+BP44-BP45</f>
        <v/>
      </c>
      <c r="BQ78" s="38">
        <f>BP78+BQ44-BQ45</f>
        <v/>
      </c>
      <c r="BR78" s="31" t="inlineStr">
        <is>
          <t>PPE净额。预测=上期+Capex−D&amp;A。</t>
        </is>
      </c>
    </row>
    <row r="79">
      <c r="A79" s="4" t="inlineStr">
        <is>
          <t>BS</t>
        </is>
      </c>
      <c r="B79" s="7" t="inlineStr">
        <is>
          <t>Other non-current assets (incl. LT investments / JVs)</t>
        </is>
      </c>
      <c r="C79" s="4" t="inlineStr">
        <is>
          <t>$000</t>
        </is>
      </c>
      <c r="D79" s="36" t="n">
        <v>19155</v>
      </c>
      <c r="E79" s="36" t="n">
        <v>24149</v>
      </c>
      <c r="F79" s="36" t="n">
        <v>12704</v>
      </c>
      <c r="G79" s="36" t="n">
        <v>12741</v>
      </c>
      <c r="H79" s="36" t="n">
        <v>18519</v>
      </c>
      <c r="I79" s="36" t="n">
        <v>29841</v>
      </c>
      <c r="J79" s="36" t="n">
        <v>25510</v>
      </c>
      <c r="K79" s="36" t="n">
        <v>21697</v>
      </c>
      <c r="L79" s="36" t="n">
        <v>21321</v>
      </c>
      <c r="M79" s="36" t="n">
        <v>25335</v>
      </c>
      <c r="N79" s="37">
        <f>BI79</f>
        <v/>
      </c>
      <c r="O79" s="38">
        <f>BM79</f>
        <v/>
      </c>
      <c r="P79" s="38">
        <f>BQ79</f>
        <v/>
      </c>
      <c r="R79" s="36" t="n">
        <v>24547</v>
      </c>
      <c r="S79" s="36" t="n">
        <v>22915</v>
      </c>
      <c r="T79" s="36" t="n">
        <v>21943</v>
      </c>
      <c r="U79" s="36" t="n">
        <v>19155</v>
      </c>
      <c r="V79" s="36" t="n">
        <v>21615</v>
      </c>
      <c r="W79" s="36" t="n">
        <v>20582</v>
      </c>
      <c r="X79" s="36" t="n">
        <v>21381</v>
      </c>
      <c r="Y79" s="36" t="n">
        <v>24149</v>
      </c>
      <c r="Z79" s="36" t="n">
        <v>23987</v>
      </c>
      <c r="AA79" s="36" t="n">
        <v>17037</v>
      </c>
      <c r="AB79" s="36" t="n">
        <v>13100</v>
      </c>
      <c r="AC79" s="36" t="n">
        <v>12704</v>
      </c>
      <c r="AD79" s="36" t="n">
        <v>11441</v>
      </c>
      <c r="AE79" s="36" t="n">
        <v>14574</v>
      </c>
      <c r="AF79" s="36" t="n">
        <v>19307</v>
      </c>
      <c r="AG79" s="36" t="n">
        <v>12741</v>
      </c>
      <c r="AH79" s="36" t="n">
        <v>13888</v>
      </c>
      <c r="AI79" s="36" t="n">
        <v>14460</v>
      </c>
      <c r="AJ79" s="36" t="n">
        <v>15894</v>
      </c>
      <c r="AK79" s="36" t="n">
        <v>18519</v>
      </c>
      <c r="AL79" s="36" t="n">
        <v>19078</v>
      </c>
      <c r="AM79" s="36" t="n">
        <v>17721</v>
      </c>
      <c r="AN79" s="36" t="n">
        <v>24428</v>
      </c>
      <c r="AO79" s="36" t="n">
        <v>29841</v>
      </c>
      <c r="AP79" s="36" t="n">
        <v>31049</v>
      </c>
      <c r="AQ79" s="36" t="n">
        <v>31003</v>
      </c>
      <c r="AR79" s="36" t="n">
        <v>27593</v>
      </c>
      <c r="AS79" s="36" t="n">
        <v>25510</v>
      </c>
      <c r="AT79" s="36" t="n">
        <v>27097</v>
      </c>
      <c r="AU79" s="36" t="n">
        <v>22060</v>
      </c>
      <c r="AV79" s="36" t="n">
        <v>23107</v>
      </c>
      <c r="AW79" s="36" t="n">
        <v>21697</v>
      </c>
      <c r="AX79" s="36" t="n">
        <v>22100</v>
      </c>
      <c r="AY79" s="36" t="n">
        <v>20685</v>
      </c>
      <c r="AZ79" s="36" t="n">
        <v>21260</v>
      </c>
      <c r="BA79" s="36" t="n">
        <v>21321</v>
      </c>
      <c r="BB79" s="36" t="n">
        <v>24911</v>
      </c>
      <c r="BC79" s="36" t="n">
        <v>24329</v>
      </c>
      <c r="BD79" s="36" t="n">
        <v>24996</v>
      </c>
      <c r="BE79" s="36" t="n">
        <v>25335</v>
      </c>
      <c r="BF79" s="36" t="n">
        <v>26201</v>
      </c>
      <c r="BG79" s="36" t="n">
        <v>323465</v>
      </c>
      <c r="BH79" s="38">
        <f>BG79</f>
        <v/>
      </c>
      <c r="BI79" s="38">
        <f>BH79</f>
        <v/>
      </c>
      <c r="BJ79" s="38">
        <f>BI79</f>
        <v/>
      </c>
      <c r="BK79" s="38">
        <f>BJ79</f>
        <v/>
      </c>
      <c r="BL79" s="38">
        <f>BK79</f>
        <v/>
      </c>
      <c r="BM79" s="38">
        <f>BL79</f>
        <v/>
      </c>
      <c r="BN79" s="38">
        <f>BM79</f>
        <v/>
      </c>
      <c r="BO79" s="38">
        <f>BN79</f>
        <v/>
      </c>
      <c r="BP79" s="38">
        <f>BO79</f>
        <v/>
      </c>
      <c r="BQ79" s="38">
        <f>BP79</f>
        <v/>
      </c>
      <c r="BR79" s="31" t="inlineStr">
        <is>
          <t>其他非流动资产。Q2'26约$323m，其中长期投资/定期存款约$313m（增发资金存放）。预测保持Q2'26水平（资金继续生息）。</t>
        </is>
      </c>
    </row>
    <row r="80">
      <c r="A80" s="4" t="inlineStr">
        <is>
          <t>BS</t>
        </is>
      </c>
      <c r="B80" s="5" t="inlineStr">
        <is>
          <t>TOTAL ASSETS</t>
        </is>
      </c>
      <c r="C80" s="4" t="inlineStr">
        <is>
          <t>$000</t>
        </is>
      </c>
      <c r="D80" s="45">
        <f>D77+D78+D79</f>
        <v/>
      </c>
      <c r="E80" s="45">
        <f>E77+E78+E79</f>
        <v/>
      </c>
      <c r="F80" s="45">
        <f>F77+F78+F79</f>
        <v/>
      </c>
      <c r="G80" s="45">
        <f>G77+G78+G79</f>
        <v/>
      </c>
      <c r="H80" s="45">
        <f>H77+H78+H79</f>
        <v/>
      </c>
      <c r="I80" s="45">
        <f>I77+I78+I79</f>
        <v/>
      </c>
      <c r="J80" s="45">
        <f>J77+J78+J79</f>
        <v/>
      </c>
      <c r="K80" s="45">
        <f>K77+K78+K79</f>
        <v/>
      </c>
      <c r="L80" s="45">
        <f>L77+L78+L79</f>
        <v/>
      </c>
      <c r="M80" s="45">
        <f>M77+M78+M79</f>
        <v/>
      </c>
      <c r="N80" s="45">
        <f>BI80</f>
        <v/>
      </c>
      <c r="O80" s="45">
        <f>BM80</f>
        <v/>
      </c>
      <c r="P80" s="45">
        <f>BQ80</f>
        <v/>
      </c>
      <c r="R80" s="45">
        <f>R77+R78+R79</f>
        <v/>
      </c>
      <c r="S80" s="45">
        <f>S77+S78+S79</f>
        <v/>
      </c>
      <c r="T80" s="45">
        <f>T77+T78+T79</f>
        <v/>
      </c>
      <c r="U80" s="45">
        <f>U77+U78+U79</f>
        <v/>
      </c>
      <c r="V80" s="45">
        <f>V77+V78+V79</f>
        <v/>
      </c>
      <c r="W80" s="45">
        <f>W77+W78+W79</f>
        <v/>
      </c>
      <c r="X80" s="45">
        <f>X77+X78+X79</f>
        <v/>
      </c>
      <c r="Y80" s="45">
        <f>Y77+Y78+Y79</f>
        <v/>
      </c>
      <c r="Z80" s="45">
        <f>Z77+Z78+Z79</f>
        <v/>
      </c>
      <c r="AA80" s="45">
        <f>AA77+AA78+AA79</f>
        <v/>
      </c>
      <c r="AB80" s="45">
        <f>AB77+AB78+AB79</f>
        <v/>
      </c>
      <c r="AC80" s="45">
        <f>AC77+AC78+AC79</f>
        <v/>
      </c>
      <c r="AD80" s="45">
        <f>AD77+AD78+AD79</f>
        <v/>
      </c>
      <c r="AE80" s="45">
        <f>AE77+AE78+AE79</f>
        <v/>
      </c>
      <c r="AF80" s="45">
        <f>AF77+AF78+AF79</f>
        <v/>
      </c>
      <c r="AG80" s="45">
        <f>AG77+AG78+AG79</f>
        <v/>
      </c>
      <c r="AH80" s="45">
        <f>AH77+AH78+AH79</f>
        <v/>
      </c>
      <c r="AI80" s="45">
        <f>AI77+AI78+AI79</f>
        <v/>
      </c>
      <c r="AJ80" s="45">
        <f>AJ77+AJ78+AJ79</f>
        <v/>
      </c>
      <c r="AK80" s="45">
        <f>AK77+AK78+AK79</f>
        <v/>
      </c>
      <c r="AL80" s="45">
        <f>AL77+AL78+AL79</f>
        <v/>
      </c>
      <c r="AM80" s="45">
        <f>AM77+AM78+AM79</f>
        <v/>
      </c>
      <c r="AN80" s="45">
        <f>AN77+AN78+AN79</f>
        <v/>
      </c>
      <c r="AO80" s="45">
        <f>AO77+AO78+AO79</f>
        <v/>
      </c>
      <c r="AP80" s="45">
        <f>AP77+AP78+AP79</f>
        <v/>
      </c>
      <c r="AQ80" s="45">
        <f>AQ77+AQ78+AQ79</f>
        <v/>
      </c>
      <c r="AR80" s="45">
        <f>AR77+AR78+AR79</f>
        <v/>
      </c>
      <c r="AS80" s="45">
        <f>AS77+AS78+AS79</f>
        <v/>
      </c>
      <c r="AT80" s="45">
        <f>AT77+AT78+AT79</f>
        <v/>
      </c>
      <c r="AU80" s="45">
        <f>AU77+AU78+AU79</f>
        <v/>
      </c>
      <c r="AV80" s="45">
        <f>AV77+AV78+AV79</f>
        <v/>
      </c>
      <c r="AW80" s="45">
        <f>AW77+AW78+AW79</f>
        <v/>
      </c>
      <c r="AX80" s="45">
        <f>AX77+AX78+AX79</f>
        <v/>
      </c>
      <c r="AY80" s="45">
        <f>AY77+AY78+AY79</f>
        <v/>
      </c>
      <c r="AZ80" s="45">
        <f>AZ77+AZ78+AZ79</f>
        <v/>
      </c>
      <c r="BA80" s="45">
        <f>BA77+BA78+BA79</f>
        <v/>
      </c>
      <c r="BB80" s="45">
        <f>BB77+BB78+BB79</f>
        <v/>
      </c>
      <c r="BC80" s="45">
        <f>BC77+BC78+BC79</f>
        <v/>
      </c>
      <c r="BD80" s="45">
        <f>BD77+BD78+BD79</f>
        <v/>
      </c>
      <c r="BE80" s="45">
        <f>BE77+BE78+BE79</f>
        <v/>
      </c>
      <c r="BF80" s="45">
        <f>BF77+BF78+BF79</f>
        <v/>
      </c>
      <c r="BG80" s="45">
        <f>BG77+BG78+BG79</f>
        <v/>
      </c>
      <c r="BH80" s="45">
        <f>BH77+BH78+BH79</f>
        <v/>
      </c>
      <c r="BI80" s="45">
        <f>BI77+BI78+BI79</f>
        <v/>
      </c>
      <c r="BJ80" s="45">
        <f>BJ77+BJ78+BJ79</f>
        <v/>
      </c>
      <c r="BK80" s="45">
        <f>BK77+BK78+BK79</f>
        <v/>
      </c>
      <c r="BL80" s="45">
        <f>BL77+BL78+BL79</f>
        <v/>
      </c>
      <c r="BM80" s="45">
        <f>BM77+BM78+BM79</f>
        <v/>
      </c>
      <c r="BN80" s="45">
        <f>BN77+BN78+BN79</f>
        <v/>
      </c>
      <c r="BO80" s="45">
        <f>BO77+BO78+BO79</f>
        <v/>
      </c>
      <c r="BP80" s="45">
        <f>BP77+BP78+BP79</f>
        <v/>
      </c>
      <c r="BQ80" s="45">
        <f>BQ77+BQ78+BQ79</f>
        <v/>
      </c>
      <c r="BR80" s="31" t="inlineStr">
        <is>
          <t>资产总计。应等于负债+RNCI+权益。</t>
        </is>
      </c>
    </row>
    <row r="81">
      <c r="A81" s="4" t="inlineStr">
        <is>
          <t>BS</t>
        </is>
      </c>
      <c r="B81" s="7" t="inlineStr">
        <is>
          <t>Accounts payable</t>
        </is>
      </c>
      <c r="C81" s="4" t="inlineStr">
        <is>
          <t>$000</t>
        </is>
      </c>
      <c r="D81" s="36" t="n">
        <v>6691</v>
      </c>
      <c r="E81" s="36" t="n">
        <v>11445</v>
      </c>
      <c r="F81" s="36" t="n">
        <v>13338</v>
      </c>
      <c r="G81" s="36" t="n">
        <v>10098</v>
      </c>
      <c r="H81" s="36" t="n">
        <v>12669</v>
      </c>
      <c r="I81" s="36" t="n">
        <v>16649</v>
      </c>
      <c r="J81" s="36" t="n">
        <v>10084</v>
      </c>
      <c r="K81" s="36" t="n">
        <v>9617</v>
      </c>
      <c r="L81" s="36" t="n">
        <v>12356</v>
      </c>
      <c r="M81" s="36" t="n">
        <v>12947</v>
      </c>
      <c r="N81" s="37">
        <f>BI81</f>
        <v/>
      </c>
      <c r="O81" s="38">
        <f>BM81</f>
        <v/>
      </c>
      <c r="P81" s="38">
        <f>BQ81</f>
        <v/>
      </c>
      <c r="R81" s="36" t="n">
        <v>8034</v>
      </c>
      <c r="S81" s="36" t="n">
        <v>7848</v>
      </c>
      <c r="T81" s="36" t="n">
        <v>7277</v>
      </c>
      <c r="U81" s="36" t="n">
        <v>6691</v>
      </c>
      <c r="V81" s="36" t="n">
        <v>8159</v>
      </c>
      <c r="W81" s="36" t="n">
        <v>8189</v>
      </c>
      <c r="X81" s="36" t="n">
        <v>9499</v>
      </c>
      <c r="Y81" s="36" t="n">
        <v>11445</v>
      </c>
      <c r="Z81" s="36" t="n">
        <v>12049</v>
      </c>
      <c r="AA81" s="36" t="n">
        <v>14059</v>
      </c>
      <c r="AB81" s="36" t="n">
        <v>12344</v>
      </c>
      <c r="AC81" s="36" t="n">
        <v>13338</v>
      </c>
      <c r="AD81" s="36" t="n">
        <v>7882</v>
      </c>
      <c r="AE81" s="36" t="n">
        <v>6004</v>
      </c>
      <c r="AF81" s="36" t="n">
        <v>8147</v>
      </c>
      <c r="AG81" s="36" t="n">
        <v>10098</v>
      </c>
      <c r="AH81" s="36" t="n">
        <v>9518</v>
      </c>
      <c r="AI81" s="36" t="n">
        <v>11540</v>
      </c>
      <c r="AJ81" s="36" t="n">
        <v>12271</v>
      </c>
      <c r="AK81" s="36" t="n">
        <v>12669</v>
      </c>
      <c r="AL81" s="36" t="n">
        <v>13399</v>
      </c>
      <c r="AM81" s="36" t="n">
        <v>16130</v>
      </c>
      <c r="AN81" s="36" t="n">
        <v>11384</v>
      </c>
      <c r="AO81" s="36" t="n">
        <v>16649</v>
      </c>
      <c r="AP81" s="36" t="n">
        <v>14399</v>
      </c>
      <c r="AQ81" s="36" t="n">
        <v>23317</v>
      </c>
      <c r="AR81" s="36" t="n">
        <v>13354</v>
      </c>
      <c r="AS81" s="36" t="n">
        <v>10084</v>
      </c>
      <c r="AT81" s="36" t="n">
        <v>6766</v>
      </c>
      <c r="AU81" s="36" t="n">
        <v>4692</v>
      </c>
      <c r="AV81" s="36" t="n">
        <v>6369</v>
      </c>
      <c r="AW81" s="36" t="n">
        <v>9617</v>
      </c>
      <c r="AX81" s="36" t="n">
        <v>10262</v>
      </c>
      <c r="AY81" s="36" t="n">
        <v>11655</v>
      </c>
      <c r="AZ81" s="36" t="n">
        <v>12780</v>
      </c>
      <c r="BA81" s="36" t="n">
        <v>12356</v>
      </c>
      <c r="BB81" s="36" t="n">
        <v>11106</v>
      </c>
      <c r="BC81" s="36" t="n">
        <v>11242</v>
      </c>
      <c r="BD81" s="36" t="n">
        <v>10848</v>
      </c>
      <c r="BE81" s="36" t="n">
        <v>12947</v>
      </c>
      <c r="BF81" s="36" t="n">
        <v>16141</v>
      </c>
      <c r="BG81" s="36" t="n">
        <v>14373</v>
      </c>
      <c r="BH81" s="38">
        <f>BH43/BH$11*BH51</f>
        <v/>
      </c>
      <c r="BI81" s="38">
        <f>BI43/BI$11*BI51</f>
        <v/>
      </c>
      <c r="BJ81" s="38">
        <f>BJ43/BJ$11*BJ51</f>
        <v/>
      </c>
      <c r="BK81" s="38">
        <f>BK43/BK$11*BK51</f>
        <v/>
      </c>
      <c r="BL81" s="38">
        <f>BL43/BL$11*BL51</f>
        <v/>
      </c>
      <c r="BM81" s="38">
        <f>BM43/BM$11*BM51</f>
        <v/>
      </c>
      <c r="BN81" s="38">
        <f>BN43/BN$11*BN51</f>
        <v/>
      </c>
      <c r="BO81" s="38">
        <f>BO43/BO$11*BO51</f>
        <v/>
      </c>
      <c r="BP81" s="38">
        <f>BP43/BP$11*BP51</f>
        <v/>
      </c>
      <c r="BQ81" s="38">
        <f>BQ43/BQ$11*BQ51</f>
        <v/>
      </c>
      <c r="BR81" s="31" t="inlineStr">
        <is>
          <t>应付账款。预测=DPO/天数×COGS。</t>
        </is>
      </c>
    </row>
    <row r="82">
      <c r="A82" s="4" t="inlineStr">
        <is>
          <t>BS</t>
        </is>
      </c>
      <c r="B82" s="7" t="inlineStr">
        <is>
          <t>Short-term debt / bank loans (incl. current LTD)</t>
        </is>
      </c>
      <c r="C82" s="4" t="inlineStr">
        <is>
          <t>$000</t>
        </is>
      </c>
      <c r="D82" s="36" t="n">
        <v>0</v>
      </c>
      <c r="E82" s="36" t="n">
        <v>0</v>
      </c>
      <c r="F82" s="36" t="n">
        <v>0</v>
      </c>
      <c r="G82" s="36" t="n">
        <v>5747</v>
      </c>
      <c r="H82" s="36" t="n">
        <v>10411</v>
      </c>
      <c r="I82" s="36" t="n">
        <v>14116</v>
      </c>
      <c r="J82" s="36" t="n">
        <v>47077</v>
      </c>
      <c r="K82" s="36" t="n">
        <v>52920</v>
      </c>
      <c r="L82" s="36" t="n">
        <v>47264</v>
      </c>
      <c r="M82" s="36" t="n">
        <v>67096</v>
      </c>
      <c r="N82" s="37">
        <f>BI82</f>
        <v/>
      </c>
      <c r="O82" s="38">
        <f>BM82</f>
        <v/>
      </c>
      <c r="P82" s="38">
        <f>BQ82</f>
        <v/>
      </c>
      <c r="R82" s="36" t="n">
        <v>2946</v>
      </c>
      <c r="S82" s="36" t="n">
        <v>2954</v>
      </c>
      <c r="T82" s="36" t="n">
        <v>2756</v>
      </c>
      <c r="U82" s="36" t="n">
        <v>5093</v>
      </c>
      <c r="V82" s="36" t="n">
        <v>4348</v>
      </c>
      <c r="W82" s="36" t="n">
        <v>5150</v>
      </c>
      <c r="X82" s="36" t="n">
        <v>5106</v>
      </c>
      <c r="Y82" s="36" t="n">
        <v>6132</v>
      </c>
      <c r="Z82" s="36" t="n">
        <v>5054</v>
      </c>
      <c r="AA82" s="36" t="n">
        <v>6486</v>
      </c>
      <c r="AB82" s="36" t="n">
        <v>7187</v>
      </c>
      <c r="AC82" s="36" t="n">
        <v>8454</v>
      </c>
      <c r="AD82" s="36" t="n">
        <v>5256</v>
      </c>
      <c r="AE82" s="36" t="n">
        <v>6020</v>
      </c>
      <c r="AF82" s="36" t="n">
        <v>8273</v>
      </c>
      <c r="AG82" s="36" t="n">
        <v>9585</v>
      </c>
      <c r="AH82" s="36" t="n">
        <v>9043</v>
      </c>
      <c r="AI82" s="36" t="n">
        <v>9129</v>
      </c>
      <c r="AJ82" s="36" t="n">
        <v>7822</v>
      </c>
      <c r="AK82" s="36" t="n">
        <v>14523</v>
      </c>
      <c r="AL82" s="36" t="n">
        <v>14341</v>
      </c>
      <c r="AM82" s="36" t="n">
        <v>12144</v>
      </c>
      <c r="AN82" s="36" t="n">
        <v>14275</v>
      </c>
      <c r="AO82" s="36" t="n">
        <v>17145</v>
      </c>
      <c r="AP82" s="36" t="n">
        <v>17823</v>
      </c>
      <c r="AQ82" s="36" t="n">
        <v>26155</v>
      </c>
      <c r="AR82" s="36" t="n">
        <v>32754</v>
      </c>
      <c r="AS82" s="36" t="n">
        <v>35883</v>
      </c>
      <c r="AT82" s="36" t="n">
        <v>36312</v>
      </c>
      <c r="AU82" s="36" t="n">
        <v>34414</v>
      </c>
      <c r="AV82" s="36" t="n">
        <v>33713</v>
      </c>
      <c r="AW82" s="36" t="n">
        <v>39567</v>
      </c>
      <c r="AX82" s="36" t="n">
        <v>33960</v>
      </c>
      <c r="AY82" s="36" t="n">
        <v>34646</v>
      </c>
      <c r="AZ82" s="36" t="n">
        <v>36296</v>
      </c>
      <c r="BA82" s="36" t="n">
        <v>34001</v>
      </c>
      <c r="BB82" s="36" t="n">
        <v>35282</v>
      </c>
      <c r="BC82" s="36" t="n">
        <v>37565</v>
      </c>
      <c r="BD82" s="36" t="n">
        <v>40727</v>
      </c>
      <c r="BE82" s="36" t="n">
        <v>67096</v>
      </c>
      <c r="BF82" s="36" t="n">
        <v>72000</v>
      </c>
      <c r="BG82" s="36" t="n">
        <v>79030</v>
      </c>
      <c r="BH82" s="44" t="n">
        <v>79000</v>
      </c>
      <c r="BI82" s="44" t="n">
        <v>79000</v>
      </c>
      <c r="BJ82" s="44" t="n">
        <v>85000</v>
      </c>
      <c r="BK82" s="44" t="n">
        <v>85000</v>
      </c>
      <c r="BL82" s="44" t="n">
        <v>85000</v>
      </c>
      <c r="BM82" s="44" t="n">
        <v>80000</v>
      </c>
      <c r="BN82" s="44" t="n">
        <v>75000</v>
      </c>
      <c r="BO82" s="44" t="n">
        <v>70000</v>
      </c>
      <c r="BP82" s="44" t="n">
        <v>65000</v>
      </c>
      <c r="BQ82" s="44" t="n">
        <v>60000</v>
      </c>
      <c r="BR82" s="31" t="inlineStr">
        <is>
          <t>短期贷款。Q2'26约$79m。预测见假设。历史含在其他流动负债中的部分已尽量拆出，剩余进other CL。</t>
        </is>
      </c>
    </row>
    <row r="83">
      <c r="A83" s="4" t="inlineStr">
        <is>
          <t>BS</t>
        </is>
      </c>
      <c r="B83" s="7" t="inlineStr">
        <is>
          <t>Other current liabilities</t>
        </is>
      </c>
      <c r="C83" s="4" t="inlineStr">
        <is>
          <t>$000</t>
        </is>
      </c>
      <c r="D83" s="36" t="n">
        <v>9260</v>
      </c>
      <c r="E83" s="36" t="n">
        <v>11149</v>
      </c>
      <c r="F83" s="36" t="n">
        <v>15371</v>
      </c>
      <c r="G83" s="36" t="n">
        <v>11681</v>
      </c>
      <c r="H83" s="36" t="n">
        <v>15995</v>
      </c>
      <c r="I83" s="36" t="n">
        <v>17057</v>
      </c>
      <c r="J83" s="36" t="n">
        <v>18165</v>
      </c>
      <c r="K83" s="36" t="n">
        <v>19020</v>
      </c>
      <c r="L83" s="36" t="n">
        <v>14556</v>
      </c>
      <c r="M83" s="36" t="n">
        <v>10498</v>
      </c>
      <c r="N83" s="37">
        <f>BI83</f>
        <v/>
      </c>
      <c r="O83" s="38">
        <f>BM83</f>
        <v/>
      </c>
      <c r="P83" s="38">
        <f>BQ83</f>
        <v/>
      </c>
      <c r="R83" s="36" t="n">
        <v>2411</v>
      </c>
      <c r="S83" s="36" t="n">
        <v>2417</v>
      </c>
      <c r="T83" s="36" t="n">
        <v>2255</v>
      </c>
      <c r="U83" s="36" t="n">
        <v>4167</v>
      </c>
      <c r="V83" s="36" t="n">
        <v>3558</v>
      </c>
      <c r="W83" s="36" t="n">
        <v>4213</v>
      </c>
      <c r="X83" s="36" t="n">
        <v>4178</v>
      </c>
      <c r="Y83" s="36" t="n">
        <v>5017</v>
      </c>
      <c r="Z83" s="36" t="n">
        <v>4136</v>
      </c>
      <c r="AA83" s="36" t="n">
        <v>5307</v>
      </c>
      <c r="AB83" s="36" t="n">
        <v>5880</v>
      </c>
      <c r="AC83" s="36" t="n">
        <v>6917</v>
      </c>
      <c r="AD83" s="36" t="n">
        <v>4300</v>
      </c>
      <c r="AE83" s="36" t="n">
        <v>4925</v>
      </c>
      <c r="AF83" s="36" t="n">
        <v>6768</v>
      </c>
      <c r="AG83" s="36" t="n">
        <v>7843</v>
      </c>
      <c r="AH83" s="36" t="n">
        <v>7399</v>
      </c>
      <c r="AI83" s="36" t="n">
        <v>7469</v>
      </c>
      <c r="AJ83" s="36" t="n">
        <v>6400</v>
      </c>
      <c r="AK83" s="36" t="n">
        <v>11883</v>
      </c>
      <c r="AL83" s="36" t="n">
        <v>11733</v>
      </c>
      <c r="AM83" s="36" t="n">
        <v>9936</v>
      </c>
      <c r="AN83" s="36" t="n">
        <v>11680</v>
      </c>
      <c r="AO83" s="36" t="n">
        <v>14028</v>
      </c>
      <c r="AP83" s="36" t="n">
        <v>14582</v>
      </c>
      <c r="AQ83" s="36" t="n">
        <v>21399</v>
      </c>
      <c r="AR83" s="36" t="n">
        <v>26799</v>
      </c>
      <c r="AS83" s="36" t="n">
        <v>29359</v>
      </c>
      <c r="AT83" s="36" t="n">
        <v>29710</v>
      </c>
      <c r="AU83" s="36" t="n">
        <v>28157</v>
      </c>
      <c r="AV83" s="36" t="n">
        <v>27583</v>
      </c>
      <c r="AW83" s="36" t="n">
        <v>32373</v>
      </c>
      <c r="AX83" s="36" t="n">
        <v>27785</v>
      </c>
      <c r="AY83" s="36" t="n">
        <v>28346</v>
      </c>
      <c r="AZ83" s="36" t="n">
        <v>29697</v>
      </c>
      <c r="BA83" s="36" t="n">
        <v>27819</v>
      </c>
      <c r="BB83" s="36" t="n">
        <v>28868</v>
      </c>
      <c r="BC83" s="36" t="n">
        <v>30735</v>
      </c>
      <c r="BD83" s="36" t="n">
        <v>33322</v>
      </c>
      <c r="BE83" s="36" t="n">
        <v>10498</v>
      </c>
      <c r="BF83" s="36" t="n">
        <v>9735</v>
      </c>
      <c r="BG83" s="36" t="n">
        <v>32255</v>
      </c>
      <c r="BH83" s="38">
        <f>BG83</f>
        <v/>
      </c>
      <c r="BI83" s="38">
        <f>BH83</f>
        <v/>
      </c>
      <c r="BJ83" s="38">
        <f>BI83</f>
        <v/>
      </c>
      <c r="BK83" s="38">
        <f>BJ83</f>
        <v/>
      </c>
      <c r="BL83" s="38">
        <f>BK83</f>
        <v/>
      </c>
      <c r="BM83" s="38">
        <f>BL83</f>
        <v/>
      </c>
      <c r="BN83" s="38">
        <f>BM83</f>
        <v/>
      </c>
      <c r="BO83" s="38">
        <f>BN83</f>
        <v/>
      </c>
      <c r="BP83" s="38">
        <f>BO83</f>
        <v/>
      </c>
      <c r="BQ83" s="38">
        <f>BP83</f>
        <v/>
      </c>
      <c r="BR83" s="31" t="inlineStr">
        <is>
          <t>其他流动负债=流动负债−AP−短期债务。</t>
        </is>
      </c>
    </row>
    <row r="84">
      <c r="A84" s="4" t="inlineStr">
        <is>
          <t>BS</t>
        </is>
      </c>
      <c r="B84" s="7" t="inlineStr">
        <is>
          <t>Total current liabilities</t>
        </is>
      </c>
      <c r="C84" s="4" t="inlineStr">
        <is>
          <t>$000</t>
        </is>
      </c>
      <c r="D84" s="43">
        <f>D81+D82+D83</f>
        <v/>
      </c>
      <c r="E84" s="43">
        <f>E81+E82+E83</f>
        <v/>
      </c>
      <c r="F84" s="43">
        <f>F81+F82+F83</f>
        <v/>
      </c>
      <c r="G84" s="43">
        <f>G81+G82+G83</f>
        <v/>
      </c>
      <c r="H84" s="43">
        <f>H81+H82+H83</f>
        <v/>
      </c>
      <c r="I84" s="43">
        <f>I81+I82+I83</f>
        <v/>
      </c>
      <c r="J84" s="43">
        <f>J81+J82+J83</f>
        <v/>
      </c>
      <c r="K84" s="43">
        <f>K81+K82+K83</f>
        <v/>
      </c>
      <c r="L84" s="43">
        <f>L81+L82+L83</f>
        <v/>
      </c>
      <c r="M84" s="43">
        <f>M81+M82+M83</f>
        <v/>
      </c>
      <c r="N84" s="37">
        <f>BI84</f>
        <v/>
      </c>
      <c r="O84" s="38">
        <f>BM84</f>
        <v/>
      </c>
      <c r="P84" s="38">
        <f>BQ84</f>
        <v/>
      </c>
      <c r="R84" s="43">
        <f>R81+R82+R83</f>
        <v/>
      </c>
      <c r="S84" s="43">
        <f>S81+S82+S83</f>
        <v/>
      </c>
      <c r="T84" s="43">
        <f>T81+T82+T83</f>
        <v/>
      </c>
      <c r="U84" s="43">
        <f>U81+U82+U83</f>
        <v/>
      </c>
      <c r="V84" s="43">
        <f>V81+V82+V83</f>
        <v/>
      </c>
      <c r="W84" s="43">
        <f>W81+W82+W83</f>
        <v/>
      </c>
      <c r="X84" s="43">
        <f>X81+X82+X83</f>
        <v/>
      </c>
      <c r="Y84" s="43">
        <f>Y81+Y82+Y83</f>
        <v/>
      </c>
      <c r="Z84" s="43">
        <f>Z81+Z82+Z83</f>
        <v/>
      </c>
      <c r="AA84" s="43">
        <f>AA81+AA82+AA83</f>
        <v/>
      </c>
      <c r="AB84" s="43">
        <f>AB81+AB82+AB83</f>
        <v/>
      </c>
      <c r="AC84" s="43">
        <f>AC81+AC82+AC83</f>
        <v/>
      </c>
      <c r="AD84" s="43">
        <f>AD81+AD82+AD83</f>
        <v/>
      </c>
      <c r="AE84" s="43">
        <f>AE81+AE82+AE83</f>
        <v/>
      </c>
      <c r="AF84" s="43">
        <f>AF81+AF82+AF83</f>
        <v/>
      </c>
      <c r="AG84" s="43">
        <f>AG81+AG82+AG83</f>
        <v/>
      </c>
      <c r="AH84" s="43">
        <f>AH81+AH82+AH83</f>
        <v/>
      </c>
      <c r="AI84" s="43">
        <f>AI81+AI82+AI83</f>
        <v/>
      </c>
      <c r="AJ84" s="43">
        <f>AJ81+AJ82+AJ83</f>
        <v/>
      </c>
      <c r="AK84" s="43">
        <f>AK81+AK82+AK83</f>
        <v/>
      </c>
      <c r="AL84" s="43">
        <f>AL81+AL82+AL83</f>
        <v/>
      </c>
      <c r="AM84" s="43">
        <f>AM81+AM82+AM83</f>
        <v/>
      </c>
      <c r="AN84" s="43">
        <f>AN81+AN82+AN83</f>
        <v/>
      </c>
      <c r="AO84" s="43">
        <f>AO81+AO82+AO83</f>
        <v/>
      </c>
      <c r="AP84" s="43">
        <f>AP81+AP82+AP83</f>
        <v/>
      </c>
      <c r="AQ84" s="43">
        <f>AQ81+AQ82+AQ83</f>
        <v/>
      </c>
      <c r="AR84" s="43">
        <f>AR81+AR82+AR83</f>
        <v/>
      </c>
      <c r="AS84" s="43">
        <f>AS81+AS82+AS83</f>
        <v/>
      </c>
      <c r="AT84" s="43">
        <f>AT81+AT82+AT83</f>
        <v/>
      </c>
      <c r="AU84" s="43">
        <f>AU81+AU82+AU83</f>
        <v/>
      </c>
      <c r="AV84" s="43">
        <f>AV81+AV82+AV83</f>
        <v/>
      </c>
      <c r="AW84" s="43">
        <f>AW81+AW82+AW83</f>
        <v/>
      </c>
      <c r="AX84" s="43">
        <f>AX81+AX82+AX83</f>
        <v/>
      </c>
      <c r="AY84" s="43">
        <f>AY81+AY82+AY83</f>
        <v/>
      </c>
      <c r="AZ84" s="43">
        <f>AZ81+AZ82+AZ83</f>
        <v/>
      </c>
      <c r="BA84" s="43">
        <f>BA81+BA82+BA83</f>
        <v/>
      </c>
      <c r="BB84" s="43">
        <f>BB81+BB82+BB83</f>
        <v/>
      </c>
      <c r="BC84" s="43">
        <f>BC81+BC82+BC83</f>
        <v/>
      </c>
      <c r="BD84" s="43">
        <f>BD81+BD82+BD83</f>
        <v/>
      </c>
      <c r="BE84" s="43">
        <f>BE81+BE82+BE83</f>
        <v/>
      </c>
      <c r="BF84" s="43">
        <f>BF81+BF82+BF83</f>
        <v/>
      </c>
      <c r="BG84" s="43">
        <f>BG81+BG82+BG83</f>
        <v/>
      </c>
      <c r="BH84" s="38">
        <f>BH81+BH82+BH83</f>
        <v/>
      </c>
      <c r="BI84" s="38">
        <f>BI81+BI82+BI83</f>
        <v/>
      </c>
      <c r="BJ84" s="38">
        <f>BJ81+BJ82+BJ83</f>
        <v/>
      </c>
      <c r="BK84" s="38">
        <f>BK81+BK82+BK83</f>
        <v/>
      </c>
      <c r="BL84" s="38">
        <f>BL81+BL82+BL83</f>
        <v/>
      </c>
      <c r="BM84" s="38">
        <f>BM81+BM82+BM83</f>
        <v/>
      </c>
      <c r="BN84" s="38">
        <f>BN81+BN82+BN83</f>
        <v/>
      </c>
      <c r="BO84" s="38">
        <f>BO81+BO82+BO83</f>
        <v/>
      </c>
      <c r="BP84" s="38">
        <f>BP81+BP82+BP83</f>
        <v/>
      </c>
      <c r="BQ84" s="38">
        <f>BQ81+BQ82+BQ83</f>
        <v/>
      </c>
      <c r="BR84" s="31" t="inlineStr">
        <is>
          <t>流动负债合计。</t>
        </is>
      </c>
    </row>
    <row r="85">
      <c r="A85" s="4" t="inlineStr">
        <is>
          <t>BS</t>
        </is>
      </c>
      <c r="B85" s="7" t="inlineStr">
        <is>
          <t>Long-term debt</t>
        </is>
      </c>
      <c r="C85" s="4" t="inlineStr">
        <is>
          <t>$000</t>
        </is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0</v>
      </c>
      <c r="K85" s="36" t="n">
        <v>0</v>
      </c>
      <c r="L85" s="36" t="n">
        <v>0</v>
      </c>
      <c r="M85" s="36" t="n">
        <v>5200</v>
      </c>
      <c r="N85" s="37">
        <f>BI85</f>
        <v/>
      </c>
      <c r="O85" s="38">
        <f>BM85</f>
        <v/>
      </c>
      <c r="P85" s="38">
        <f>BQ85</f>
        <v/>
      </c>
      <c r="R85" s="36" t="n">
        <v>0</v>
      </c>
      <c r="S85" s="36" t="n">
        <v>0</v>
      </c>
      <c r="T85" s="36" t="n">
        <v>0</v>
      </c>
      <c r="U85" s="36" t="n">
        <v>0</v>
      </c>
      <c r="V85" s="36" t="n">
        <v>0</v>
      </c>
      <c r="W85" s="36" t="n">
        <v>0</v>
      </c>
      <c r="X85" s="36" t="n">
        <v>0</v>
      </c>
      <c r="Y85" s="36" t="n">
        <v>0</v>
      </c>
      <c r="Z85" s="36" t="n">
        <v>0</v>
      </c>
      <c r="AA85" s="36" t="n">
        <v>0</v>
      </c>
      <c r="AB85" s="36" t="n">
        <v>0</v>
      </c>
      <c r="AC85" s="36" t="n">
        <v>0</v>
      </c>
      <c r="AD85" s="36" t="n">
        <v>0</v>
      </c>
      <c r="AE85" s="36" t="n">
        <v>0</v>
      </c>
      <c r="AF85" s="36" t="n">
        <v>0</v>
      </c>
      <c r="AG85" s="36" t="n">
        <v>0</v>
      </c>
      <c r="AH85" s="36" t="n">
        <v>0</v>
      </c>
      <c r="AI85" s="36" t="n">
        <v>0</v>
      </c>
      <c r="AJ85" s="36" t="n">
        <v>0</v>
      </c>
      <c r="AK85" s="36" t="n">
        <v>0</v>
      </c>
      <c r="AL85" s="36" t="n">
        <v>0</v>
      </c>
      <c r="AM85" s="36" t="n">
        <v>0</v>
      </c>
      <c r="AN85" s="36" t="n">
        <v>0</v>
      </c>
      <c r="AO85" s="36" t="n">
        <v>0</v>
      </c>
      <c r="AP85" s="36" t="n">
        <v>0</v>
      </c>
      <c r="AQ85" s="36" t="n">
        <v>0</v>
      </c>
      <c r="AR85" s="36" t="n">
        <v>0</v>
      </c>
      <c r="AS85" s="36" t="n">
        <v>0</v>
      </c>
      <c r="AT85" s="36" t="n">
        <v>0</v>
      </c>
      <c r="AU85" s="36" t="n">
        <v>0</v>
      </c>
      <c r="AV85" s="36" t="n">
        <v>0</v>
      </c>
      <c r="AW85" s="36" t="n">
        <v>0</v>
      </c>
      <c r="AX85" s="36" t="n">
        <v>0</v>
      </c>
      <c r="AY85" s="36" t="n">
        <v>0</v>
      </c>
      <c r="AZ85" s="36" t="n">
        <v>0</v>
      </c>
      <c r="BA85" s="36" t="n">
        <v>0</v>
      </c>
      <c r="BB85" s="36" t="n">
        <v>5200</v>
      </c>
      <c r="BC85" s="36" t="n">
        <v>5200</v>
      </c>
      <c r="BD85" s="36" t="n">
        <v>5200</v>
      </c>
      <c r="BE85" s="36" t="n">
        <v>5200</v>
      </c>
      <c r="BF85" s="36" t="n">
        <v>5200</v>
      </c>
      <c r="BG85" s="36" t="n">
        <v>15500</v>
      </c>
      <c r="BH85" s="44" t="n">
        <v>15500</v>
      </c>
      <c r="BI85" s="44" t="n">
        <v>15500</v>
      </c>
      <c r="BJ85" s="44" t="n">
        <v>25000</v>
      </c>
      <c r="BK85" s="44" t="n">
        <v>25000</v>
      </c>
      <c r="BL85" s="44" t="n">
        <v>30000</v>
      </c>
      <c r="BM85" s="44" t="n">
        <v>30000</v>
      </c>
      <c r="BN85" s="44" t="n">
        <v>28000</v>
      </c>
      <c r="BO85" s="44" t="n">
        <v>26000</v>
      </c>
      <c r="BP85" s="44" t="n">
        <v>24000</v>
      </c>
      <c r="BQ85" s="44" t="n">
        <v>22000</v>
      </c>
      <c r="BR85" s="31" t="inlineStr">
        <is>
          <t>长期债务。Q2'26约$15.5m。2027扩产小幅增加。</t>
        </is>
      </c>
    </row>
    <row r="86">
      <c r="A86" s="4" t="inlineStr">
        <is>
          <t>BS</t>
        </is>
      </c>
      <c r="B86" s="7" t="inlineStr">
        <is>
          <t>Other non-current liabilities</t>
        </is>
      </c>
      <c r="C86" s="4" t="inlineStr">
        <is>
          <t>$000</t>
        </is>
      </c>
      <c r="D86" s="36" t="n">
        <v>905</v>
      </c>
      <c r="E86" s="36" t="n">
        <v>289</v>
      </c>
      <c r="F86" s="36" t="n">
        <v>283</v>
      </c>
      <c r="G86" s="36" t="n">
        <v>3061</v>
      </c>
      <c r="H86" s="36" t="n">
        <v>4255</v>
      </c>
      <c r="I86" s="36" t="n">
        <v>4388</v>
      </c>
      <c r="J86" s="36" t="n">
        <v>5000</v>
      </c>
      <c r="K86" s="36" t="n">
        <v>7998</v>
      </c>
      <c r="L86" s="36" t="n">
        <v>10230</v>
      </c>
      <c r="M86" s="36" t="n">
        <v>3379</v>
      </c>
      <c r="N86" s="37">
        <f>BI86</f>
        <v/>
      </c>
      <c r="O86" s="38">
        <f>BM86</f>
        <v/>
      </c>
      <c r="P86" s="38">
        <f>BQ86</f>
        <v/>
      </c>
      <c r="R86" s="36" t="n">
        <v>1314</v>
      </c>
      <c r="S86" s="36" t="n">
        <v>1170</v>
      </c>
      <c r="T86" s="36" t="n">
        <v>1026</v>
      </c>
      <c r="U86" s="36" t="n">
        <v>905</v>
      </c>
      <c r="V86" s="36" t="n">
        <v>663</v>
      </c>
      <c r="W86" s="36" t="n">
        <v>507</v>
      </c>
      <c r="X86" s="36" t="n">
        <v>422</v>
      </c>
      <c r="Y86" s="36" t="n">
        <v>289</v>
      </c>
      <c r="Z86" s="36" t="n">
        <v>329</v>
      </c>
      <c r="AA86" s="36" t="n">
        <v>296</v>
      </c>
      <c r="AB86" s="36" t="n">
        <v>320</v>
      </c>
      <c r="AC86" s="36" t="n">
        <v>283</v>
      </c>
      <c r="AD86" s="36" t="n">
        <v>1139</v>
      </c>
      <c r="AE86" s="36" t="n">
        <v>1286</v>
      </c>
      <c r="AF86" s="36" t="n">
        <v>3068</v>
      </c>
      <c r="AG86" s="36" t="n">
        <v>3061</v>
      </c>
      <c r="AH86" s="36" t="n">
        <v>4490</v>
      </c>
      <c r="AI86" s="36" t="n">
        <v>4028</v>
      </c>
      <c r="AJ86" s="36" t="n">
        <v>4352</v>
      </c>
      <c r="AK86" s="36" t="n">
        <v>4255</v>
      </c>
      <c r="AL86" s="36" t="n">
        <v>3759</v>
      </c>
      <c r="AM86" s="36" t="n">
        <v>3849</v>
      </c>
      <c r="AN86" s="36" t="n">
        <v>4592</v>
      </c>
      <c r="AO86" s="36" t="n">
        <v>4388</v>
      </c>
      <c r="AP86" s="36" t="n">
        <v>4073</v>
      </c>
      <c r="AQ86" s="36" t="n">
        <v>3665</v>
      </c>
      <c r="AR86" s="36" t="n">
        <v>3512</v>
      </c>
      <c r="AS86" s="36" t="n">
        <v>5000</v>
      </c>
      <c r="AT86" s="36" t="n">
        <v>5497</v>
      </c>
      <c r="AU86" s="36" t="n">
        <v>4555</v>
      </c>
      <c r="AV86" s="36" t="n">
        <v>6444</v>
      </c>
      <c r="AW86" s="36" t="n">
        <v>7998</v>
      </c>
      <c r="AX86" s="36" t="n">
        <v>11866</v>
      </c>
      <c r="AY86" s="36" t="n">
        <v>11653</v>
      </c>
      <c r="AZ86" s="36" t="n">
        <v>10588</v>
      </c>
      <c r="BA86" s="36" t="n">
        <v>10230</v>
      </c>
      <c r="BB86" s="36" t="n">
        <v>6849</v>
      </c>
      <c r="BC86" s="36" t="n">
        <v>3630</v>
      </c>
      <c r="BD86" s="36" t="n">
        <v>3481</v>
      </c>
      <c r="BE86" s="36" t="n">
        <v>3379</v>
      </c>
      <c r="BF86" s="36" t="n">
        <v>4556</v>
      </c>
      <c r="BG86" s="36" t="n">
        <v>4186</v>
      </c>
      <c r="BH86" s="38">
        <f>BG86</f>
        <v/>
      </c>
      <c r="BI86" s="38">
        <f>BH86</f>
        <v/>
      </c>
      <c r="BJ86" s="38">
        <f>BI86</f>
        <v/>
      </c>
      <c r="BK86" s="38">
        <f>BJ86</f>
        <v/>
      </c>
      <c r="BL86" s="38">
        <f>BK86</f>
        <v/>
      </c>
      <c r="BM86" s="38">
        <f>BL86</f>
        <v/>
      </c>
      <c r="BN86" s="38">
        <f>BM86</f>
        <v/>
      </c>
      <c r="BO86" s="38">
        <f>BN86</f>
        <v/>
      </c>
      <c r="BP86" s="38">
        <f>BO86</f>
        <v/>
      </c>
      <c r="BQ86" s="38">
        <f>BP86</f>
        <v/>
      </c>
      <c r="BR86" s="31" t="inlineStr">
        <is>
          <t>其他非流动负债（租赁、递延等）。预测持平。</t>
        </is>
      </c>
    </row>
    <row r="87">
      <c r="A87" s="4" t="inlineStr">
        <is>
          <t>BS</t>
        </is>
      </c>
      <c r="B87" s="5" t="inlineStr">
        <is>
          <t>TOTAL LIABILITIES</t>
        </is>
      </c>
      <c r="C87" s="4" t="inlineStr">
        <is>
          <t>$000</t>
        </is>
      </c>
      <c r="D87" s="45">
        <f>D84+D85+D86</f>
        <v/>
      </c>
      <c r="E87" s="45">
        <f>E84+E85+E86</f>
        <v/>
      </c>
      <c r="F87" s="45">
        <f>F84+F85+F86</f>
        <v/>
      </c>
      <c r="G87" s="45">
        <f>G84+G85+G86</f>
        <v/>
      </c>
      <c r="H87" s="45">
        <f>H84+H85+H86</f>
        <v/>
      </c>
      <c r="I87" s="45">
        <f>I84+I85+I86</f>
        <v/>
      </c>
      <c r="J87" s="45">
        <f>J84+J85+J86</f>
        <v/>
      </c>
      <c r="K87" s="45">
        <f>K84+K85+K86</f>
        <v/>
      </c>
      <c r="L87" s="45">
        <f>L84+L85+L86</f>
        <v/>
      </c>
      <c r="M87" s="45">
        <f>M84+M85+M86</f>
        <v/>
      </c>
      <c r="N87" s="55">
        <f>BI87</f>
        <v/>
      </c>
      <c r="O87" s="56">
        <f>BM87</f>
        <v/>
      </c>
      <c r="P87" s="56">
        <f>BQ87</f>
        <v/>
      </c>
      <c r="R87" s="45">
        <f>R84+R85+R86</f>
        <v/>
      </c>
      <c r="S87" s="45">
        <f>S84+S85+S86</f>
        <v/>
      </c>
      <c r="T87" s="45">
        <f>T84+T85+T86</f>
        <v/>
      </c>
      <c r="U87" s="45">
        <f>U84+U85+U86</f>
        <v/>
      </c>
      <c r="V87" s="45">
        <f>V84+V85+V86</f>
        <v/>
      </c>
      <c r="W87" s="45">
        <f>W84+W85+W86</f>
        <v/>
      </c>
      <c r="X87" s="45">
        <f>X84+X85+X86</f>
        <v/>
      </c>
      <c r="Y87" s="45">
        <f>Y84+Y85+Y86</f>
        <v/>
      </c>
      <c r="Z87" s="45">
        <f>Z84+Z85+Z86</f>
        <v/>
      </c>
      <c r="AA87" s="45">
        <f>AA84+AA85+AA86</f>
        <v/>
      </c>
      <c r="AB87" s="45">
        <f>AB84+AB85+AB86</f>
        <v/>
      </c>
      <c r="AC87" s="45">
        <f>AC84+AC85+AC86</f>
        <v/>
      </c>
      <c r="AD87" s="45">
        <f>AD84+AD85+AD86</f>
        <v/>
      </c>
      <c r="AE87" s="45">
        <f>AE84+AE85+AE86</f>
        <v/>
      </c>
      <c r="AF87" s="45">
        <f>AF84+AF85+AF86</f>
        <v/>
      </c>
      <c r="AG87" s="45">
        <f>AG84+AG85+AG86</f>
        <v/>
      </c>
      <c r="AH87" s="45">
        <f>AH84+AH85+AH86</f>
        <v/>
      </c>
      <c r="AI87" s="45">
        <f>AI84+AI85+AI86</f>
        <v/>
      </c>
      <c r="AJ87" s="45">
        <f>AJ84+AJ85+AJ86</f>
        <v/>
      </c>
      <c r="AK87" s="45">
        <f>AK84+AK85+AK86</f>
        <v/>
      </c>
      <c r="AL87" s="45">
        <f>AL84+AL85+AL86</f>
        <v/>
      </c>
      <c r="AM87" s="45">
        <f>AM84+AM85+AM86</f>
        <v/>
      </c>
      <c r="AN87" s="45">
        <f>AN84+AN85+AN86</f>
        <v/>
      </c>
      <c r="AO87" s="45">
        <f>AO84+AO85+AO86</f>
        <v/>
      </c>
      <c r="AP87" s="45">
        <f>AP84+AP85+AP86</f>
        <v/>
      </c>
      <c r="AQ87" s="45">
        <f>AQ84+AQ85+AQ86</f>
        <v/>
      </c>
      <c r="AR87" s="45">
        <f>AR84+AR85+AR86</f>
        <v/>
      </c>
      <c r="AS87" s="45">
        <f>AS84+AS85+AS86</f>
        <v/>
      </c>
      <c r="AT87" s="45">
        <f>AT84+AT85+AT86</f>
        <v/>
      </c>
      <c r="AU87" s="45">
        <f>AU84+AU85+AU86</f>
        <v/>
      </c>
      <c r="AV87" s="45">
        <f>AV84+AV85+AV86</f>
        <v/>
      </c>
      <c r="AW87" s="45">
        <f>AW84+AW85+AW86</f>
        <v/>
      </c>
      <c r="AX87" s="45">
        <f>AX84+AX85+AX86</f>
        <v/>
      </c>
      <c r="AY87" s="45">
        <f>AY84+AY85+AY86</f>
        <v/>
      </c>
      <c r="AZ87" s="45">
        <f>AZ84+AZ85+AZ86</f>
        <v/>
      </c>
      <c r="BA87" s="45">
        <f>BA84+BA85+BA86</f>
        <v/>
      </c>
      <c r="BB87" s="45">
        <f>BB84+BB85+BB86</f>
        <v/>
      </c>
      <c r="BC87" s="45">
        <f>BC84+BC85+BC86</f>
        <v/>
      </c>
      <c r="BD87" s="45">
        <f>BD84+BD85+BD86</f>
        <v/>
      </c>
      <c r="BE87" s="45">
        <f>BE84+BE85+BE86</f>
        <v/>
      </c>
      <c r="BF87" s="45">
        <f>BF84+BF85+BF86</f>
        <v/>
      </c>
      <c r="BG87" s="45">
        <f>BG84+BG85+BG86</f>
        <v/>
      </c>
      <c r="BH87" s="45">
        <f>BH84+BH85+BH86</f>
        <v/>
      </c>
      <c r="BI87" s="45">
        <f>BI84+BI85+BI86</f>
        <v/>
      </c>
      <c r="BJ87" s="45">
        <f>BJ84+BJ85+BJ86</f>
        <v/>
      </c>
      <c r="BK87" s="45">
        <f>BK84+BK85+BK86</f>
        <v/>
      </c>
      <c r="BL87" s="45">
        <f>BL84+BL85+BL86</f>
        <v/>
      </c>
      <c r="BM87" s="45">
        <f>BM84+BM85+BM86</f>
        <v/>
      </c>
      <c r="BN87" s="45">
        <f>BN84+BN85+BN86</f>
        <v/>
      </c>
      <c r="BO87" s="45">
        <f>BO84+BO85+BO86</f>
        <v/>
      </c>
      <c r="BP87" s="45">
        <f>BP84+BP85+BP86</f>
        <v/>
      </c>
      <c r="BQ87" s="45">
        <f>BQ84+BQ85+BQ86</f>
        <v/>
      </c>
      <c r="BR87" s="31" t="inlineStr">
        <is>
          <t>负债合计。</t>
        </is>
      </c>
    </row>
    <row r="88">
      <c r="A88" s="4" t="inlineStr">
        <is>
          <t>BS</t>
        </is>
      </c>
      <c r="B88" s="7" t="inlineStr">
        <is>
          <t>Redeemable noncontrolling interests</t>
        </is>
      </c>
      <c r="C88" s="4" t="inlineStr">
        <is>
          <t>$000</t>
        </is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47563</v>
      </c>
      <c r="I88" s="36" t="n">
        <v>50385</v>
      </c>
      <c r="J88" s="36" t="n">
        <v>44846</v>
      </c>
      <c r="K88" s="36" t="n">
        <v>41663</v>
      </c>
      <c r="L88" s="36" t="n">
        <v>38577</v>
      </c>
      <c r="M88" s="36" t="n">
        <v>38056</v>
      </c>
      <c r="N88" s="37">
        <f>BI88</f>
        <v/>
      </c>
      <c r="O88" s="38">
        <f>BM88</f>
        <v/>
      </c>
      <c r="P88" s="38">
        <f>BQ88</f>
        <v/>
      </c>
      <c r="R88" s="36" t="n">
        <v>0</v>
      </c>
      <c r="S88" s="36" t="n">
        <v>0</v>
      </c>
      <c r="T88" s="36" t="n">
        <v>0</v>
      </c>
      <c r="U88" s="36" t="n">
        <v>0</v>
      </c>
      <c r="V88" s="36" t="n">
        <v>0</v>
      </c>
      <c r="W88" s="36" t="n">
        <v>0</v>
      </c>
      <c r="X88" s="36" t="n">
        <v>0</v>
      </c>
      <c r="Y88" s="36" t="n">
        <v>0</v>
      </c>
      <c r="Z88" s="36" t="n">
        <v>0</v>
      </c>
      <c r="AA88" s="36" t="n">
        <v>0</v>
      </c>
      <c r="AB88" s="36" t="n">
        <v>0</v>
      </c>
      <c r="AC88" s="36" t="n">
        <v>0</v>
      </c>
      <c r="AD88" s="36" t="n">
        <v>0</v>
      </c>
      <c r="AE88" s="36" t="n">
        <v>0</v>
      </c>
      <c r="AF88" s="36" t="n">
        <v>0</v>
      </c>
      <c r="AG88" s="36" t="n">
        <v>0</v>
      </c>
      <c r="AH88" s="36" t="n">
        <v>0</v>
      </c>
      <c r="AI88" s="36" t="n">
        <v>0</v>
      </c>
      <c r="AJ88" s="36" t="n">
        <v>0</v>
      </c>
      <c r="AK88" s="36" t="n">
        <v>47563</v>
      </c>
      <c r="AL88" s="36" t="n">
        <v>48212</v>
      </c>
      <c r="AM88" s="36" t="n">
        <v>50083</v>
      </c>
      <c r="AN88" s="36" t="n">
        <v>50178</v>
      </c>
      <c r="AO88" s="36" t="n">
        <v>50385</v>
      </c>
      <c r="AP88" s="36" t="n">
        <v>50971</v>
      </c>
      <c r="AQ88" s="36" t="n">
        <v>48265</v>
      </c>
      <c r="AR88" s="36" t="n">
        <v>45198</v>
      </c>
      <c r="AS88" s="36" t="n">
        <v>44846</v>
      </c>
      <c r="AT88" s="36" t="n">
        <v>44920</v>
      </c>
      <c r="AU88" s="36" t="n">
        <v>41393</v>
      </c>
      <c r="AV88" s="36" t="n">
        <v>40634</v>
      </c>
      <c r="AW88" s="36" t="n">
        <v>41663</v>
      </c>
      <c r="AX88" s="36" t="n">
        <v>40581</v>
      </c>
      <c r="AY88" s="36" t="n">
        <v>39761</v>
      </c>
      <c r="AZ88" s="36" t="n">
        <v>41237</v>
      </c>
      <c r="BA88" s="36" t="n">
        <v>38577</v>
      </c>
      <c r="BB88" s="36" t="n">
        <v>38125</v>
      </c>
      <c r="BC88" s="36" t="n">
        <v>38010</v>
      </c>
      <c r="BD88" s="36" t="n">
        <v>38111</v>
      </c>
      <c r="BE88" s="36" t="n">
        <v>38056</v>
      </c>
      <c r="BF88" s="36" t="n">
        <v>38516</v>
      </c>
      <c r="BG88" s="36" t="n">
        <v>39735</v>
      </c>
      <c r="BH88" s="38">
        <f>BG88+BH65*0.4</f>
        <v/>
      </c>
      <c r="BI88" s="38">
        <f>BH88+BI65*0.4</f>
        <v/>
      </c>
      <c r="BJ88" s="38">
        <f>BI88+BJ65*0.4</f>
        <v/>
      </c>
      <c r="BK88" s="38">
        <f>BJ88+BK65*0.4</f>
        <v/>
      </c>
      <c r="BL88" s="38">
        <f>BK88+BL65*0.4</f>
        <v/>
      </c>
      <c r="BM88" s="38">
        <f>BL88+BM65*0.4</f>
        <v/>
      </c>
      <c r="BN88" s="38">
        <f>BM88+BN65*0.4</f>
        <v/>
      </c>
      <c r="BO88" s="38">
        <f>BN88+BO65*0.4</f>
        <v/>
      </c>
      <c r="BP88" s="38">
        <f>BO88+BP65*0.4</f>
        <v/>
      </c>
      <c r="BQ88" s="38">
        <f>BP88+BQ65*0.4</f>
        <v/>
      </c>
      <c r="BR88" s="31" t="inlineStr">
        <is>
          <t>可赎回少数股东权益（Tongmei投资人）。预测随NCI利润的40%归属RNCI、60%归属永久NCI。</t>
        </is>
      </c>
    </row>
    <row r="89">
      <c r="A89" s="4" t="inlineStr">
        <is>
          <t>BS</t>
        </is>
      </c>
      <c r="B89" s="7" t="inlineStr">
        <is>
          <t>AXT equity ex-RE (preferred, APIC, AOCI, common)</t>
        </is>
      </c>
      <c r="C89" s="4" t="inlineStr">
        <is>
          <t>$000</t>
        </is>
      </c>
      <c r="D89" s="36" t="n">
        <v>197995</v>
      </c>
      <c r="E89" s="36" t="n">
        <v>238657</v>
      </c>
      <c r="F89" s="36" t="n">
        <v>236018</v>
      </c>
      <c r="G89" s="36" t="n">
        <v>235668</v>
      </c>
      <c r="H89" s="36" t="n">
        <v>237164</v>
      </c>
      <c r="I89" s="36" t="n">
        <v>241499</v>
      </c>
      <c r="J89" s="36" t="n">
        <v>235766</v>
      </c>
      <c r="K89" s="36" t="n">
        <v>236029</v>
      </c>
      <c r="L89" s="36" t="n">
        <v>236434</v>
      </c>
      <c r="M89" s="36" t="n">
        <v>338214</v>
      </c>
      <c r="N89" s="37">
        <f>BI89</f>
        <v/>
      </c>
      <c r="O89" s="38">
        <f>BM89</f>
        <v/>
      </c>
      <c r="P89" s="38">
        <f>BQ89</f>
        <v/>
      </c>
      <c r="R89" s="36" t="n">
        <v>203128</v>
      </c>
      <c r="S89" s="36" t="n">
        <v>201564</v>
      </c>
      <c r="T89" s="36" t="n">
        <v>201956</v>
      </c>
      <c r="U89" s="36" t="n">
        <v>197995</v>
      </c>
      <c r="V89" s="36" t="n">
        <v>231279</v>
      </c>
      <c r="W89" s="36" t="n">
        <v>232403</v>
      </c>
      <c r="X89" s="36" t="n">
        <v>234362</v>
      </c>
      <c r="Y89" s="36" t="n">
        <v>238657</v>
      </c>
      <c r="Z89" s="36" t="n">
        <v>241629</v>
      </c>
      <c r="AA89" s="36" t="n">
        <v>237727</v>
      </c>
      <c r="AB89" s="36" t="n">
        <v>235247</v>
      </c>
      <c r="AC89" s="36" t="n">
        <v>236018</v>
      </c>
      <c r="AD89" s="36" t="n">
        <v>237815</v>
      </c>
      <c r="AE89" s="36" t="n">
        <v>236144</v>
      </c>
      <c r="AF89" s="36" t="n">
        <v>232652</v>
      </c>
      <c r="AG89" s="36" t="n">
        <v>235668</v>
      </c>
      <c r="AH89" s="36" t="n">
        <v>234977</v>
      </c>
      <c r="AI89" s="36" t="n">
        <v>235962</v>
      </c>
      <c r="AJ89" s="36" t="n">
        <v>242003</v>
      </c>
      <c r="AK89" s="36" t="n">
        <v>237164</v>
      </c>
      <c r="AL89" s="36" t="n">
        <v>236269</v>
      </c>
      <c r="AM89" s="36" t="n">
        <v>236518</v>
      </c>
      <c r="AN89" s="36" t="n">
        <v>238675</v>
      </c>
      <c r="AO89" s="36" t="n">
        <v>241499</v>
      </c>
      <c r="AP89" s="36" t="n">
        <v>242521</v>
      </c>
      <c r="AQ89" s="36" t="n">
        <v>237576</v>
      </c>
      <c r="AR89" s="36" t="n">
        <v>232650</v>
      </c>
      <c r="AS89" s="36" t="n">
        <v>235766</v>
      </c>
      <c r="AT89" s="36" t="n">
        <v>237508</v>
      </c>
      <c r="AU89" s="36" t="n">
        <v>232389</v>
      </c>
      <c r="AV89" s="36" t="n">
        <v>232648</v>
      </c>
      <c r="AW89" s="36" t="n">
        <v>236029</v>
      </c>
      <c r="AX89" s="36" t="n">
        <v>235207</v>
      </c>
      <c r="AY89" s="36" t="n">
        <v>235311</v>
      </c>
      <c r="AZ89" s="36" t="n">
        <v>239309</v>
      </c>
      <c r="BA89" s="36" t="n">
        <v>236434</v>
      </c>
      <c r="BB89" s="36" t="n">
        <v>237499</v>
      </c>
      <c r="BC89" s="36" t="n">
        <v>239184</v>
      </c>
      <c r="BD89" s="36" t="n">
        <v>240524</v>
      </c>
      <c r="BE89" s="36" t="n">
        <v>338214</v>
      </c>
      <c r="BF89" s="36" t="n">
        <v>341418</v>
      </c>
      <c r="BG89" s="36" t="n">
        <v>942690</v>
      </c>
      <c r="BH89" s="38">
        <f>BG89+BH46</f>
        <v/>
      </c>
      <c r="BI89" s="38">
        <f>BH89+BI46</f>
        <v/>
      </c>
      <c r="BJ89" s="38">
        <f>BI89+BJ46</f>
        <v/>
      </c>
      <c r="BK89" s="38">
        <f>BJ89+BK46</f>
        <v/>
      </c>
      <c r="BL89" s="38">
        <f>BK89+BL46</f>
        <v/>
      </c>
      <c r="BM89" s="38">
        <f>BL89+BM46</f>
        <v/>
      </c>
      <c r="BN89" s="38">
        <f>BM89+BN46</f>
        <v/>
      </c>
      <c r="BO89" s="38">
        <f>BN89+BO46</f>
        <v/>
      </c>
      <c r="BP89" s="38">
        <f>BO89+BP46</f>
        <v/>
      </c>
      <c r="BQ89" s="38">
        <f>BP89+BQ46</f>
        <v/>
      </c>
      <c r="BR89" s="31" t="inlineStr">
        <is>
          <t>除留存收益外的AXT权益。含优先股$3.5m、APIC（2026增发后大幅增加）、AOCI。预测=上期+SBC+股权融资。</t>
        </is>
      </c>
    </row>
    <row r="90">
      <c r="A90" s="4" t="inlineStr">
        <is>
          <t>BS</t>
        </is>
      </c>
      <c r="B90" s="7" t="inlineStr">
        <is>
          <t>Retained earnings / (accumulated deficit)</t>
        </is>
      </c>
      <c r="C90" s="4" t="inlineStr">
        <is>
          <t>$000</t>
        </is>
      </c>
      <c r="D90" s="36" t="n">
        <v>-64985</v>
      </c>
      <c r="E90" s="36" t="n">
        <v>-54837</v>
      </c>
      <c r="F90" s="36" t="n">
        <v>-45183</v>
      </c>
      <c r="G90" s="36" t="n">
        <v>-47783</v>
      </c>
      <c r="H90" s="36" t="n">
        <v>-44545</v>
      </c>
      <c r="I90" s="36" t="n">
        <v>-29970</v>
      </c>
      <c r="J90" s="36" t="n">
        <v>-14159</v>
      </c>
      <c r="K90" s="36" t="n">
        <v>-32040</v>
      </c>
      <c r="L90" s="36" t="n">
        <v>-43664</v>
      </c>
      <c r="M90" s="36" t="n">
        <v>-64924</v>
      </c>
      <c r="N90" s="37">
        <f>BI90</f>
        <v/>
      </c>
      <c r="O90" s="38">
        <f>BM90</f>
        <v/>
      </c>
      <c r="P90" s="38">
        <f>BQ90</f>
        <v/>
      </c>
      <c r="R90" s="36" t="n">
        <v>-70579</v>
      </c>
      <c r="S90" s="36" t="n">
        <v>-69428</v>
      </c>
      <c r="T90" s="36" t="n">
        <v>-67199</v>
      </c>
      <c r="U90" s="36" t="n">
        <v>-64985</v>
      </c>
      <c r="V90" s="36" t="n">
        <v>-64320</v>
      </c>
      <c r="W90" s="36" t="n">
        <v>-62390</v>
      </c>
      <c r="X90" s="36" t="n">
        <v>-57971</v>
      </c>
      <c r="Y90" s="36" t="n">
        <v>-54837</v>
      </c>
      <c r="Z90" s="36" t="n">
        <v>-51962</v>
      </c>
      <c r="AA90" s="36" t="n">
        <v>-48061</v>
      </c>
      <c r="AB90" s="36" t="n">
        <v>-44122</v>
      </c>
      <c r="AC90" s="36" t="n">
        <v>-45183</v>
      </c>
      <c r="AD90" s="36" t="n">
        <v>-46287</v>
      </c>
      <c r="AE90" s="36" t="n">
        <v>-44836</v>
      </c>
      <c r="AF90" s="36" t="n">
        <v>-45734</v>
      </c>
      <c r="AG90" s="36" t="n">
        <v>-47783</v>
      </c>
      <c r="AH90" s="36" t="n">
        <v>-47961</v>
      </c>
      <c r="AI90" s="36" t="n">
        <v>-47600</v>
      </c>
      <c r="AJ90" s="36" t="n">
        <v>-46609</v>
      </c>
      <c r="AK90" s="36" t="n">
        <v>-44545</v>
      </c>
      <c r="AL90" s="36" t="n">
        <v>-41120</v>
      </c>
      <c r="AM90" s="36" t="n">
        <v>-36735</v>
      </c>
      <c r="AN90" s="36" t="n">
        <v>-32935</v>
      </c>
      <c r="AO90" s="36" t="n">
        <v>-29970</v>
      </c>
      <c r="AP90" s="36" t="n">
        <v>-26805</v>
      </c>
      <c r="AQ90" s="36" t="n">
        <v>-21259</v>
      </c>
      <c r="AR90" s="36" t="n">
        <v>-15500</v>
      </c>
      <c r="AS90" s="36" t="n">
        <v>-14159</v>
      </c>
      <c r="AT90" s="36" t="n">
        <v>-17507</v>
      </c>
      <c r="AU90" s="36" t="n">
        <v>-22596</v>
      </c>
      <c r="AV90" s="36" t="n">
        <v>-28419</v>
      </c>
      <c r="AW90" s="36" t="n">
        <v>-32040</v>
      </c>
      <c r="AX90" s="36" t="n">
        <v>-34123</v>
      </c>
      <c r="AY90" s="36" t="n">
        <v>-35639</v>
      </c>
      <c r="AZ90" s="36" t="n">
        <v>-38576</v>
      </c>
      <c r="BA90" s="36" t="n">
        <v>-43664</v>
      </c>
      <c r="BB90" s="36" t="n">
        <v>-52462</v>
      </c>
      <c r="BC90" s="36" t="n">
        <v>-59470</v>
      </c>
      <c r="BD90" s="36" t="n">
        <v>-61376</v>
      </c>
      <c r="BE90" s="36" t="n">
        <v>-64924</v>
      </c>
      <c r="BF90" s="36" t="n">
        <v>-66544</v>
      </c>
      <c r="BG90" s="36" t="n">
        <v>-55416</v>
      </c>
      <c r="BH90" s="38">
        <f>BG90+BH66</f>
        <v/>
      </c>
      <c r="BI90" s="38">
        <f>BH90+BI66</f>
        <v/>
      </c>
      <c r="BJ90" s="38">
        <f>BI90+BJ66</f>
        <v/>
      </c>
      <c r="BK90" s="38">
        <f>BJ90+BK66</f>
        <v/>
      </c>
      <c r="BL90" s="38">
        <f>BK90+BL66</f>
        <v/>
      </c>
      <c r="BM90" s="38">
        <f>BL90+BM66</f>
        <v/>
      </c>
      <c r="BN90" s="38">
        <f>BM90+BN66</f>
        <v/>
      </c>
      <c r="BO90" s="38">
        <f>BN90+BO66</f>
        <v/>
      </c>
      <c r="BP90" s="38">
        <f>BO90+BP66</f>
        <v/>
      </c>
      <c r="BQ90" s="38">
        <f>BP90+BQ66</f>
        <v/>
      </c>
      <c r="BR90" s="31" t="inlineStr">
        <is>
          <t>留存收益。预测=上期+归属AXT净利润−优先股股息。</t>
        </is>
      </c>
    </row>
    <row r="91">
      <c r="A91" s="4" t="inlineStr">
        <is>
          <t>BS</t>
        </is>
      </c>
      <c r="B91" s="5" t="inlineStr">
        <is>
          <t>Total AXT, Inc. stockholders' equity</t>
        </is>
      </c>
      <c r="C91" s="4" t="inlineStr">
        <is>
          <t>$000</t>
        </is>
      </c>
      <c r="D91" s="45">
        <f>D89+D90</f>
        <v/>
      </c>
      <c r="E91" s="45">
        <f>E89+E90</f>
        <v/>
      </c>
      <c r="F91" s="45">
        <f>F89+F90</f>
        <v/>
      </c>
      <c r="G91" s="45">
        <f>G89+G90</f>
        <v/>
      </c>
      <c r="H91" s="45">
        <f>H89+H90</f>
        <v/>
      </c>
      <c r="I91" s="45">
        <f>I89+I90</f>
        <v/>
      </c>
      <c r="J91" s="45">
        <f>J89+J90</f>
        <v/>
      </c>
      <c r="K91" s="45">
        <f>K89+K90</f>
        <v/>
      </c>
      <c r="L91" s="45">
        <f>L89+L90</f>
        <v/>
      </c>
      <c r="M91" s="45">
        <f>M89+M90</f>
        <v/>
      </c>
      <c r="N91" s="55">
        <f>BI91</f>
        <v/>
      </c>
      <c r="O91" s="56">
        <f>BM91</f>
        <v/>
      </c>
      <c r="P91" s="56">
        <f>BQ91</f>
        <v/>
      </c>
      <c r="R91" s="45">
        <f>R89+R90</f>
        <v/>
      </c>
      <c r="S91" s="45">
        <f>S89+S90</f>
        <v/>
      </c>
      <c r="T91" s="45">
        <f>T89+T90</f>
        <v/>
      </c>
      <c r="U91" s="45">
        <f>U89+U90</f>
        <v/>
      </c>
      <c r="V91" s="45">
        <f>V89+V90</f>
        <v/>
      </c>
      <c r="W91" s="45">
        <f>W89+W90</f>
        <v/>
      </c>
      <c r="X91" s="45">
        <f>X89+X90</f>
        <v/>
      </c>
      <c r="Y91" s="45">
        <f>Y89+Y90</f>
        <v/>
      </c>
      <c r="Z91" s="45">
        <f>Z89+Z90</f>
        <v/>
      </c>
      <c r="AA91" s="45">
        <f>AA89+AA90</f>
        <v/>
      </c>
      <c r="AB91" s="45">
        <f>AB89+AB90</f>
        <v/>
      </c>
      <c r="AC91" s="45">
        <f>AC89+AC90</f>
        <v/>
      </c>
      <c r="AD91" s="45">
        <f>AD89+AD90</f>
        <v/>
      </c>
      <c r="AE91" s="45">
        <f>AE89+AE90</f>
        <v/>
      </c>
      <c r="AF91" s="45">
        <f>AF89+AF90</f>
        <v/>
      </c>
      <c r="AG91" s="45">
        <f>AG89+AG90</f>
        <v/>
      </c>
      <c r="AH91" s="45">
        <f>AH89+AH90</f>
        <v/>
      </c>
      <c r="AI91" s="45">
        <f>AI89+AI90</f>
        <v/>
      </c>
      <c r="AJ91" s="45">
        <f>AJ89+AJ90</f>
        <v/>
      </c>
      <c r="AK91" s="45">
        <f>AK89+AK90</f>
        <v/>
      </c>
      <c r="AL91" s="45">
        <f>AL89+AL90</f>
        <v/>
      </c>
      <c r="AM91" s="45">
        <f>AM89+AM90</f>
        <v/>
      </c>
      <c r="AN91" s="45">
        <f>AN89+AN90</f>
        <v/>
      </c>
      <c r="AO91" s="45">
        <f>AO89+AO90</f>
        <v/>
      </c>
      <c r="AP91" s="45">
        <f>AP89+AP90</f>
        <v/>
      </c>
      <c r="AQ91" s="45">
        <f>AQ89+AQ90</f>
        <v/>
      </c>
      <c r="AR91" s="45">
        <f>AR89+AR90</f>
        <v/>
      </c>
      <c r="AS91" s="45">
        <f>AS89+AS90</f>
        <v/>
      </c>
      <c r="AT91" s="45">
        <f>AT89+AT90</f>
        <v/>
      </c>
      <c r="AU91" s="45">
        <f>AU89+AU90</f>
        <v/>
      </c>
      <c r="AV91" s="45">
        <f>AV89+AV90</f>
        <v/>
      </c>
      <c r="AW91" s="45">
        <f>AW89+AW90</f>
        <v/>
      </c>
      <c r="AX91" s="45">
        <f>AX89+AX90</f>
        <v/>
      </c>
      <c r="AY91" s="45">
        <f>AY89+AY90</f>
        <v/>
      </c>
      <c r="AZ91" s="45">
        <f>AZ89+AZ90</f>
        <v/>
      </c>
      <c r="BA91" s="45">
        <f>BA89+BA90</f>
        <v/>
      </c>
      <c r="BB91" s="45">
        <f>BB89+BB90</f>
        <v/>
      </c>
      <c r="BC91" s="45">
        <f>BC89+BC90</f>
        <v/>
      </c>
      <c r="BD91" s="45">
        <f>BD89+BD90</f>
        <v/>
      </c>
      <c r="BE91" s="45">
        <f>BE89+BE90</f>
        <v/>
      </c>
      <c r="BF91" s="45">
        <f>BF89+BF90</f>
        <v/>
      </c>
      <c r="BG91" s="45">
        <f>BG89+BG90</f>
        <v/>
      </c>
      <c r="BH91" s="45">
        <f>BH89+BH90</f>
        <v/>
      </c>
      <c r="BI91" s="45">
        <f>BI89+BI90</f>
        <v/>
      </c>
      <c r="BJ91" s="45">
        <f>BJ89+BJ90</f>
        <v/>
      </c>
      <c r="BK91" s="45">
        <f>BK89+BK90</f>
        <v/>
      </c>
      <c r="BL91" s="45">
        <f>BL89+BL90</f>
        <v/>
      </c>
      <c r="BM91" s="45">
        <f>BM89+BM90</f>
        <v/>
      </c>
      <c r="BN91" s="45">
        <f>BN89+BN90</f>
        <v/>
      </c>
      <c r="BO91" s="45">
        <f>BO89+BO90</f>
        <v/>
      </c>
      <c r="BP91" s="45">
        <f>BP89+BP90</f>
        <v/>
      </c>
      <c r="BQ91" s="45">
        <f>BQ89+BQ90</f>
        <v/>
      </c>
      <c r="BR91" s="31" t="inlineStr">
        <is>
          <t>AXT股东权益=oeq+RE。</t>
        </is>
      </c>
    </row>
    <row r="92">
      <c r="A92" s="4" t="inlineStr">
        <is>
          <t>BS</t>
        </is>
      </c>
      <c r="B92" s="7" t="inlineStr">
        <is>
          <t>Noncontrolling interests</t>
        </is>
      </c>
      <c r="C92" s="4" t="inlineStr">
        <is>
          <t>$000</t>
        </is>
      </c>
      <c r="D92" s="36" t="n">
        <v>4380</v>
      </c>
      <c r="E92" s="36" t="n">
        <v>4497</v>
      </c>
      <c r="F92" s="36" t="n">
        <v>3697</v>
      </c>
      <c r="G92" s="36" t="n">
        <v>4877</v>
      </c>
      <c r="H92" s="36" t="n">
        <v>15350</v>
      </c>
      <c r="I92" s="36" t="n">
        <v>18317</v>
      </c>
      <c r="J92" s="36" t="n">
        <v>23293</v>
      </c>
      <c r="K92" s="36" t="n">
        <v>23494</v>
      </c>
      <c r="L92" s="36" t="n">
        <v>23561</v>
      </c>
      <c r="M92" s="36" t="n">
        <v>23285</v>
      </c>
      <c r="N92" s="37">
        <f>BI92</f>
        <v/>
      </c>
      <c r="O92" s="38">
        <f>BM92</f>
        <v/>
      </c>
      <c r="P92" s="38">
        <f>BQ92</f>
        <v/>
      </c>
      <c r="R92" s="36" t="n">
        <v>5473</v>
      </c>
      <c r="S92" s="36" t="n">
        <v>4905</v>
      </c>
      <c r="T92" s="36" t="n">
        <v>4857</v>
      </c>
      <c r="U92" s="36" t="n">
        <v>4380</v>
      </c>
      <c r="V92" s="36" t="n">
        <v>3730</v>
      </c>
      <c r="W92" s="36" t="n">
        <v>3700</v>
      </c>
      <c r="X92" s="36" t="n">
        <v>4026</v>
      </c>
      <c r="Y92" s="36" t="n">
        <v>4497</v>
      </c>
      <c r="Z92" s="36" t="n">
        <v>5072</v>
      </c>
      <c r="AA92" s="36" t="n">
        <v>3867</v>
      </c>
      <c r="AB92" s="36" t="n">
        <v>3593</v>
      </c>
      <c r="AC92" s="36" t="n">
        <v>3697</v>
      </c>
      <c r="AD92" s="36" t="n">
        <v>4453</v>
      </c>
      <c r="AE92" s="36" t="n">
        <v>4347</v>
      </c>
      <c r="AF92" s="36" t="n">
        <v>4536</v>
      </c>
      <c r="AG92" s="36" t="n">
        <v>4877</v>
      </c>
      <c r="AH92" s="36" t="n">
        <v>5174</v>
      </c>
      <c r="AI92" s="36" t="n">
        <v>5692</v>
      </c>
      <c r="AJ92" s="36" t="n">
        <v>6498</v>
      </c>
      <c r="AK92" s="36" t="n">
        <v>15350</v>
      </c>
      <c r="AL92" s="36" t="n">
        <v>15313</v>
      </c>
      <c r="AM92" s="36" t="n">
        <v>17479</v>
      </c>
      <c r="AN92" s="36" t="n">
        <v>17814</v>
      </c>
      <c r="AO92" s="36" t="n">
        <v>18317</v>
      </c>
      <c r="AP92" s="36" t="n">
        <v>20835</v>
      </c>
      <c r="AQ92" s="36" t="n">
        <v>22147</v>
      </c>
      <c r="AR92" s="36" t="n">
        <v>23009</v>
      </c>
      <c r="AS92" s="36" t="n">
        <v>23293</v>
      </c>
      <c r="AT92" s="36" t="n">
        <v>23417</v>
      </c>
      <c r="AU92" s="36" t="n">
        <v>23198</v>
      </c>
      <c r="AV92" s="36" t="n">
        <v>23218</v>
      </c>
      <c r="AW92" s="36" t="n">
        <v>23494</v>
      </c>
      <c r="AX92" s="36" t="n">
        <v>23426</v>
      </c>
      <c r="AY92" s="36" t="n">
        <v>23680</v>
      </c>
      <c r="AZ92" s="36" t="n">
        <v>24249</v>
      </c>
      <c r="BA92" s="36" t="n">
        <v>23561</v>
      </c>
      <c r="BB92" s="36" t="n">
        <v>23010</v>
      </c>
      <c r="BC92" s="36" t="n">
        <v>22907</v>
      </c>
      <c r="BD92" s="36" t="n">
        <v>23197</v>
      </c>
      <c r="BE92" s="36" t="n">
        <v>23285</v>
      </c>
      <c r="BF92" s="36" t="n">
        <v>23576</v>
      </c>
      <c r="BG92" s="36" t="n">
        <v>24839</v>
      </c>
      <c r="BH92" s="38">
        <f>BG92+BH65*0.6</f>
        <v/>
      </c>
      <c r="BI92" s="38">
        <f>BH92+BI65*0.6</f>
        <v/>
      </c>
      <c r="BJ92" s="38">
        <f>BI92+BJ65*0.6</f>
        <v/>
      </c>
      <c r="BK92" s="38">
        <f>BJ92+BK65*0.6</f>
        <v/>
      </c>
      <c r="BL92" s="38">
        <f>BK92+BL65*0.6</f>
        <v/>
      </c>
      <c r="BM92" s="38">
        <f>BL92+BM65*0.6</f>
        <v/>
      </c>
      <c r="BN92" s="38">
        <f>BM92+BN65*0.6</f>
        <v/>
      </c>
      <c r="BO92" s="38">
        <f>BN92+BO65*0.6</f>
        <v/>
      </c>
      <c r="BP92" s="38">
        <f>BO92+BP65*0.6</f>
        <v/>
      </c>
      <c r="BQ92" s="38">
        <f>BP92+BQ65*0.6</f>
        <v/>
      </c>
      <c r="BR92" s="31" t="inlineStr">
        <is>
          <t>永久少数股东权益。</t>
        </is>
      </c>
    </row>
    <row r="93">
      <c r="A93" s="4" t="inlineStr">
        <is>
          <t>BS</t>
        </is>
      </c>
      <c r="B93" s="7" t="inlineStr">
        <is>
          <t>Total equity (incl. NCI, excl. RNCI)</t>
        </is>
      </c>
      <c r="C93" s="4" t="inlineStr">
        <is>
          <t>$000</t>
        </is>
      </c>
      <c r="D93" s="43">
        <f>D91+D92</f>
        <v/>
      </c>
      <c r="E93" s="43">
        <f>E91+E92</f>
        <v/>
      </c>
      <c r="F93" s="43">
        <f>F91+F92</f>
        <v/>
      </c>
      <c r="G93" s="43">
        <f>G91+G92</f>
        <v/>
      </c>
      <c r="H93" s="43">
        <f>H91+H92</f>
        <v/>
      </c>
      <c r="I93" s="43">
        <f>I91+I92</f>
        <v/>
      </c>
      <c r="J93" s="43">
        <f>J91+J92</f>
        <v/>
      </c>
      <c r="K93" s="43">
        <f>K91+K92</f>
        <v/>
      </c>
      <c r="L93" s="43">
        <f>L91+L92</f>
        <v/>
      </c>
      <c r="M93" s="43">
        <f>M91+M92</f>
        <v/>
      </c>
      <c r="N93" s="37">
        <f>BI93</f>
        <v/>
      </c>
      <c r="O93" s="38">
        <f>BM93</f>
        <v/>
      </c>
      <c r="P93" s="38">
        <f>BQ93</f>
        <v/>
      </c>
      <c r="R93" s="43">
        <f>R91+R92</f>
        <v/>
      </c>
      <c r="S93" s="43">
        <f>S91+S92</f>
        <v/>
      </c>
      <c r="T93" s="43">
        <f>T91+T92</f>
        <v/>
      </c>
      <c r="U93" s="43">
        <f>U91+U92</f>
        <v/>
      </c>
      <c r="V93" s="43">
        <f>V91+V92</f>
        <v/>
      </c>
      <c r="W93" s="43">
        <f>W91+W92</f>
        <v/>
      </c>
      <c r="X93" s="43">
        <f>X91+X92</f>
        <v/>
      </c>
      <c r="Y93" s="43">
        <f>Y91+Y92</f>
        <v/>
      </c>
      <c r="Z93" s="43">
        <f>Z91+Z92</f>
        <v/>
      </c>
      <c r="AA93" s="43">
        <f>AA91+AA92</f>
        <v/>
      </c>
      <c r="AB93" s="43">
        <f>AB91+AB92</f>
        <v/>
      </c>
      <c r="AC93" s="43">
        <f>AC91+AC92</f>
        <v/>
      </c>
      <c r="AD93" s="43">
        <f>AD91+AD92</f>
        <v/>
      </c>
      <c r="AE93" s="43">
        <f>AE91+AE92</f>
        <v/>
      </c>
      <c r="AF93" s="43">
        <f>AF91+AF92</f>
        <v/>
      </c>
      <c r="AG93" s="43">
        <f>AG91+AG92</f>
        <v/>
      </c>
      <c r="AH93" s="43">
        <f>AH91+AH92</f>
        <v/>
      </c>
      <c r="AI93" s="43">
        <f>AI91+AI92</f>
        <v/>
      </c>
      <c r="AJ93" s="43">
        <f>AJ91+AJ92</f>
        <v/>
      </c>
      <c r="AK93" s="43">
        <f>AK91+AK92</f>
        <v/>
      </c>
      <c r="AL93" s="43">
        <f>AL91+AL92</f>
        <v/>
      </c>
      <c r="AM93" s="43">
        <f>AM91+AM92</f>
        <v/>
      </c>
      <c r="AN93" s="43">
        <f>AN91+AN92</f>
        <v/>
      </c>
      <c r="AO93" s="43">
        <f>AO91+AO92</f>
        <v/>
      </c>
      <c r="AP93" s="43">
        <f>AP91+AP92</f>
        <v/>
      </c>
      <c r="AQ93" s="43">
        <f>AQ91+AQ92</f>
        <v/>
      </c>
      <c r="AR93" s="43">
        <f>AR91+AR92</f>
        <v/>
      </c>
      <c r="AS93" s="43">
        <f>AS91+AS92</f>
        <v/>
      </c>
      <c r="AT93" s="43">
        <f>AT91+AT92</f>
        <v/>
      </c>
      <c r="AU93" s="43">
        <f>AU91+AU92</f>
        <v/>
      </c>
      <c r="AV93" s="43">
        <f>AV91+AV92</f>
        <v/>
      </c>
      <c r="AW93" s="43">
        <f>AW91+AW92</f>
        <v/>
      </c>
      <c r="AX93" s="43">
        <f>AX91+AX92</f>
        <v/>
      </c>
      <c r="AY93" s="43">
        <f>AY91+AY92</f>
        <v/>
      </c>
      <c r="AZ93" s="43">
        <f>AZ91+AZ92</f>
        <v/>
      </c>
      <c r="BA93" s="43">
        <f>BA91+BA92</f>
        <v/>
      </c>
      <c r="BB93" s="43">
        <f>BB91+BB92</f>
        <v/>
      </c>
      <c r="BC93" s="43">
        <f>BC91+BC92</f>
        <v/>
      </c>
      <c r="BD93" s="43">
        <f>BD91+BD92</f>
        <v/>
      </c>
      <c r="BE93" s="43">
        <f>BE91+BE92</f>
        <v/>
      </c>
      <c r="BF93" s="43">
        <f>BF91+BF92</f>
        <v/>
      </c>
      <c r="BG93" s="43">
        <f>BG91+BG92</f>
        <v/>
      </c>
      <c r="BH93" s="38">
        <f>BH91+BH92</f>
        <v/>
      </c>
      <c r="BI93" s="38">
        <f>BI91+BI92</f>
        <v/>
      </c>
      <c r="BJ93" s="38">
        <f>BJ91+BJ92</f>
        <v/>
      </c>
      <c r="BK93" s="38">
        <f>BK91+BK92</f>
        <v/>
      </c>
      <c r="BL93" s="38">
        <f>BL91+BL92</f>
        <v/>
      </c>
      <c r="BM93" s="38">
        <f>BM91+BM92</f>
        <v/>
      </c>
      <c r="BN93" s="38">
        <f>BN91+BN92</f>
        <v/>
      </c>
      <c r="BO93" s="38">
        <f>BO91+BO92</f>
        <v/>
      </c>
      <c r="BP93" s="38">
        <f>BP91+BP92</f>
        <v/>
      </c>
      <c r="BQ93" s="38">
        <f>BQ91+BQ92</f>
        <v/>
      </c>
      <c r="BR93" s="31" t="inlineStr">
        <is>
          <t>权益合计（不含RNCI，与10-K列报一致）。</t>
        </is>
      </c>
    </row>
    <row r="94">
      <c r="A94" s="4" t="inlineStr">
        <is>
          <t>BS</t>
        </is>
      </c>
      <c r="B94" s="5" t="inlineStr">
        <is>
          <t>TOTAL LIABILITIES + RNCI + EQUITY</t>
        </is>
      </c>
      <c r="C94" s="4" t="inlineStr">
        <is>
          <t>$000</t>
        </is>
      </c>
      <c r="D94" s="45">
        <f>D87+D88+D93</f>
        <v/>
      </c>
      <c r="E94" s="45">
        <f>E87+E88+E93</f>
        <v/>
      </c>
      <c r="F94" s="45">
        <f>F87+F88+F93</f>
        <v/>
      </c>
      <c r="G94" s="45">
        <f>G87+G88+G93</f>
        <v/>
      </c>
      <c r="H94" s="45">
        <f>H87+H88+H93</f>
        <v/>
      </c>
      <c r="I94" s="45">
        <f>I87+I88+I93</f>
        <v/>
      </c>
      <c r="J94" s="45">
        <f>J87+J88+J93</f>
        <v/>
      </c>
      <c r="K94" s="45">
        <f>K87+K88+K93</f>
        <v/>
      </c>
      <c r="L94" s="45">
        <f>L87+L88+L93</f>
        <v/>
      </c>
      <c r="M94" s="45">
        <f>M87+M88+M93</f>
        <v/>
      </c>
      <c r="N94" s="45">
        <f>BI94</f>
        <v/>
      </c>
      <c r="O94" s="45">
        <f>BM94</f>
        <v/>
      </c>
      <c r="P94" s="45">
        <f>BQ94</f>
        <v/>
      </c>
      <c r="R94" s="45">
        <f>R87+R88+R93</f>
        <v/>
      </c>
      <c r="S94" s="45">
        <f>S87+S88+S93</f>
        <v/>
      </c>
      <c r="T94" s="45">
        <f>T87+T88+T93</f>
        <v/>
      </c>
      <c r="U94" s="45">
        <f>U87+U88+U93</f>
        <v/>
      </c>
      <c r="V94" s="45">
        <f>V87+V88+V93</f>
        <v/>
      </c>
      <c r="W94" s="45">
        <f>W87+W88+W93</f>
        <v/>
      </c>
      <c r="X94" s="45">
        <f>X87+X88+X93</f>
        <v/>
      </c>
      <c r="Y94" s="45">
        <f>Y87+Y88+Y93</f>
        <v/>
      </c>
      <c r="Z94" s="45">
        <f>Z87+Z88+Z93</f>
        <v/>
      </c>
      <c r="AA94" s="45">
        <f>AA87+AA88+AA93</f>
        <v/>
      </c>
      <c r="AB94" s="45">
        <f>AB87+AB88+AB93</f>
        <v/>
      </c>
      <c r="AC94" s="45">
        <f>AC87+AC88+AC93</f>
        <v/>
      </c>
      <c r="AD94" s="45">
        <f>AD87+AD88+AD93</f>
        <v/>
      </c>
      <c r="AE94" s="45">
        <f>AE87+AE88+AE93</f>
        <v/>
      </c>
      <c r="AF94" s="45">
        <f>AF87+AF88+AF93</f>
        <v/>
      </c>
      <c r="AG94" s="45">
        <f>AG87+AG88+AG93</f>
        <v/>
      </c>
      <c r="AH94" s="45">
        <f>AH87+AH88+AH93</f>
        <v/>
      </c>
      <c r="AI94" s="45">
        <f>AI87+AI88+AI93</f>
        <v/>
      </c>
      <c r="AJ94" s="45">
        <f>AJ87+AJ88+AJ93</f>
        <v/>
      </c>
      <c r="AK94" s="45">
        <f>AK87+AK88+AK93</f>
        <v/>
      </c>
      <c r="AL94" s="45">
        <f>AL87+AL88+AL93</f>
        <v/>
      </c>
      <c r="AM94" s="45">
        <f>AM87+AM88+AM93</f>
        <v/>
      </c>
      <c r="AN94" s="45">
        <f>AN87+AN88+AN93</f>
        <v/>
      </c>
      <c r="AO94" s="45">
        <f>AO87+AO88+AO93</f>
        <v/>
      </c>
      <c r="AP94" s="45">
        <f>AP87+AP88+AP93</f>
        <v/>
      </c>
      <c r="AQ94" s="45">
        <f>AQ87+AQ88+AQ93</f>
        <v/>
      </c>
      <c r="AR94" s="45">
        <f>AR87+AR88+AR93</f>
        <v/>
      </c>
      <c r="AS94" s="45">
        <f>AS87+AS88+AS93</f>
        <v/>
      </c>
      <c r="AT94" s="45">
        <f>AT87+AT88+AT93</f>
        <v/>
      </c>
      <c r="AU94" s="45">
        <f>AU87+AU88+AU93</f>
        <v/>
      </c>
      <c r="AV94" s="45">
        <f>AV87+AV88+AV93</f>
        <v/>
      </c>
      <c r="AW94" s="45">
        <f>AW87+AW88+AW93</f>
        <v/>
      </c>
      <c r="AX94" s="45">
        <f>AX87+AX88+AX93</f>
        <v/>
      </c>
      <c r="AY94" s="45">
        <f>AY87+AY88+AY93</f>
        <v/>
      </c>
      <c r="AZ94" s="45">
        <f>AZ87+AZ88+AZ93</f>
        <v/>
      </c>
      <c r="BA94" s="45">
        <f>BA87+BA88+BA93</f>
        <v/>
      </c>
      <c r="BB94" s="45">
        <f>BB87+BB88+BB93</f>
        <v/>
      </c>
      <c r="BC94" s="45">
        <f>BC87+BC88+BC93</f>
        <v/>
      </c>
      <c r="BD94" s="45">
        <f>BD87+BD88+BD93</f>
        <v/>
      </c>
      <c r="BE94" s="45">
        <f>BE87+BE88+BE93</f>
        <v/>
      </c>
      <c r="BF94" s="45">
        <f>BF87+BF88+BF93</f>
        <v/>
      </c>
      <c r="BG94" s="45">
        <f>BG87+BG88+BG93</f>
        <v/>
      </c>
      <c r="BH94" s="45">
        <f>BH87+BH88+BH93</f>
        <v/>
      </c>
      <c r="BI94" s="45">
        <f>BI87+BI88+BI93</f>
        <v/>
      </c>
      <c r="BJ94" s="45">
        <f>BJ87+BJ88+BJ93</f>
        <v/>
      </c>
      <c r="BK94" s="45">
        <f>BK87+BK88+BK93</f>
        <v/>
      </c>
      <c r="BL94" s="45">
        <f>BL87+BL88+BL93</f>
        <v/>
      </c>
      <c r="BM94" s="45">
        <f>BM87+BM88+BM93</f>
        <v/>
      </c>
      <c r="BN94" s="45">
        <f>BN87+BN88+BN93</f>
        <v/>
      </c>
      <c r="BO94" s="45">
        <f>BO87+BO88+BO93</f>
        <v/>
      </c>
      <c r="BP94" s="45">
        <f>BP87+BP88+BP93</f>
        <v/>
      </c>
      <c r="BQ94" s="45">
        <f>BQ87+BQ88+BQ93</f>
        <v/>
      </c>
      <c r="BR94" s="31" t="inlineStr">
        <is>
          <t>负债+可赎回NCI+权益，必须=总资产。</t>
        </is>
      </c>
    </row>
    <row r="96">
      <c r="A96" s="57" t="inlineStr">
        <is>
          <t>V.  CASH FLOW STATEMENT  （现金流量表）</t>
        </is>
      </c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  <c r="AA96" s="58" t="n"/>
      <c r="AB96" s="58" t="n"/>
      <c r="AC96" s="58" t="n"/>
      <c r="AD96" s="58" t="n"/>
      <c r="AE96" s="58" t="n"/>
      <c r="AF96" s="58" t="n"/>
      <c r="AG96" s="58" t="n"/>
      <c r="AH96" s="58" t="n"/>
      <c r="AI96" s="58" t="n"/>
      <c r="AJ96" s="58" t="n"/>
      <c r="AK96" s="58" t="n"/>
      <c r="AL96" s="58" t="n"/>
      <c r="AM96" s="58" t="n"/>
      <c r="AN96" s="58" t="n"/>
      <c r="AO96" s="58" t="n"/>
      <c r="AP96" s="58" t="n"/>
      <c r="AQ96" s="58" t="n"/>
      <c r="AR96" s="58" t="n"/>
      <c r="AS96" s="58" t="n"/>
      <c r="AT96" s="58" t="n"/>
      <c r="AU96" s="58" t="n"/>
      <c r="AV96" s="58" t="n"/>
      <c r="AW96" s="58" t="n"/>
      <c r="AX96" s="58" t="n"/>
      <c r="AY96" s="58" t="n"/>
      <c r="AZ96" s="58" t="n"/>
      <c r="BA96" s="58" t="n"/>
      <c r="BB96" s="58" t="n"/>
      <c r="BC96" s="58" t="n"/>
      <c r="BD96" s="58" t="n"/>
      <c r="BE96" s="58" t="n"/>
      <c r="BF96" s="58" t="n"/>
      <c r="BG96" s="58" t="n"/>
      <c r="BH96" s="58" t="n"/>
      <c r="BI96" s="58" t="n"/>
      <c r="BJ96" s="58" t="n"/>
      <c r="BK96" s="58" t="n"/>
      <c r="BL96" s="58" t="n"/>
      <c r="BM96" s="58" t="n"/>
      <c r="BN96" s="58" t="n"/>
      <c r="BO96" s="58" t="n"/>
      <c r="BP96" s="58" t="n"/>
      <c r="BQ96" s="58" t="n"/>
      <c r="BR96" s="58" t="inlineStr"/>
    </row>
    <row r="97">
      <c r="A97" s="4" t="inlineStr">
        <is>
          <t>CF</t>
        </is>
      </c>
      <c r="B97" s="7" t="inlineStr">
        <is>
          <t>Net income (consolidated)</t>
        </is>
      </c>
      <c r="C97" s="4" t="inlineStr">
        <is>
          <t>$000</t>
        </is>
      </c>
      <c r="D97" s="36" t="n">
        <v>4966</v>
      </c>
      <c r="E97" s="36" t="n">
        <v>10061</v>
      </c>
      <c r="F97" s="36" t="n">
        <v>11009</v>
      </c>
      <c r="G97" s="36" t="n">
        <v>-1588</v>
      </c>
      <c r="H97" s="36" t="n">
        <v>5041</v>
      </c>
      <c r="I97" s="36" t="n">
        <v>16509</v>
      </c>
      <c r="J97" s="36" t="n">
        <v>18742</v>
      </c>
      <c r="K97" s="36" t="n">
        <v>-19193</v>
      </c>
      <c r="L97" s="36" t="n">
        <v>-11791</v>
      </c>
      <c r="M97" s="36" t="n">
        <v>-23202</v>
      </c>
      <c r="N97" s="37">
        <f>BF97+BG97+BH97+BI97</f>
        <v/>
      </c>
      <c r="O97" s="38">
        <f>BJ97+BK97+BL97+BM97</f>
        <v/>
      </c>
      <c r="P97" s="38">
        <f>BN97+BO97+BP97+BQ97</f>
        <v/>
      </c>
      <c r="R97" s="43">
        <f>R64</f>
        <v/>
      </c>
      <c r="S97" s="43">
        <f>S64</f>
        <v/>
      </c>
      <c r="T97" s="43">
        <f>T64</f>
        <v/>
      </c>
      <c r="U97" s="43">
        <f>U64</f>
        <v/>
      </c>
      <c r="V97" s="43">
        <f>V64</f>
        <v/>
      </c>
      <c r="W97" s="43">
        <f>W64</f>
        <v/>
      </c>
      <c r="X97" s="43">
        <f>X64</f>
        <v/>
      </c>
      <c r="Y97" s="43">
        <f>Y64</f>
        <v/>
      </c>
      <c r="Z97" s="43">
        <f>Z64</f>
        <v/>
      </c>
      <c r="AA97" s="43">
        <f>AA64</f>
        <v/>
      </c>
      <c r="AB97" s="43">
        <f>AB64</f>
        <v/>
      </c>
      <c r="AC97" s="43">
        <f>AC64</f>
        <v/>
      </c>
      <c r="AD97" s="43">
        <f>AD64</f>
        <v/>
      </c>
      <c r="AE97" s="43">
        <f>AE64</f>
        <v/>
      </c>
      <c r="AF97" s="43">
        <f>AF64</f>
        <v/>
      </c>
      <c r="AG97" s="43">
        <f>AG64</f>
        <v/>
      </c>
      <c r="AH97" s="43">
        <f>AH64</f>
        <v/>
      </c>
      <c r="AI97" s="43">
        <f>AI64</f>
        <v/>
      </c>
      <c r="AJ97" s="43">
        <f>AJ64</f>
        <v/>
      </c>
      <c r="AK97" s="43">
        <f>AK64</f>
        <v/>
      </c>
      <c r="AL97" s="43">
        <f>AL64</f>
        <v/>
      </c>
      <c r="AM97" s="43">
        <f>AM64</f>
        <v/>
      </c>
      <c r="AN97" s="43">
        <f>AN64</f>
        <v/>
      </c>
      <c r="AO97" s="43">
        <f>AO64</f>
        <v/>
      </c>
      <c r="AP97" s="43">
        <f>AP64</f>
        <v/>
      </c>
      <c r="AQ97" s="43">
        <f>AQ64</f>
        <v/>
      </c>
      <c r="AR97" s="43">
        <f>AR64</f>
        <v/>
      </c>
      <c r="AS97" s="43">
        <f>AS64</f>
        <v/>
      </c>
      <c r="AT97" s="43">
        <f>AT64</f>
        <v/>
      </c>
      <c r="AU97" s="43">
        <f>AU64</f>
        <v/>
      </c>
      <c r="AV97" s="43">
        <f>AV64</f>
        <v/>
      </c>
      <c r="AW97" s="43">
        <f>AW64</f>
        <v/>
      </c>
      <c r="AX97" s="43">
        <f>AX64</f>
        <v/>
      </c>
      <c r="AY97" s="43">
        <f>AY64</f>
        <v/>
      </c>
      <c r="AZ97" s="43">
        <f>AZ64</f>
        <v/>
      </c>
      <c r="BA97" s="43">
        <f>BA64</f>
        <v/>
      </c>
      <c r="BB97" s="43">
        <f>BB64</f>
        <v/>
      </c>
      <c r="BC97" s="43">
        <f>BC64</f>
        <v/>
      </c>
      <c r="BD97" s="43">
        <f>BD64</f>
        <v/>
      </c>
      <c r="BE97" s="43">
        <f>BE64</f>
        <v/>
      </c>
      <c r="BF97" s="43">
        <f>BF64</f>
        <v/>
      </c>
      <c r="BG97" s="43">
        <f>BG64</f>
        <v/>
      </c>
      <c r="BH97" s="38">
        <f>BH64</f>
        <v/>
      </c>
      <c r="BI97" s="38">
        <f>BI64</f>
        <v/>
      </c>
      <c r="BJ97" s="38">
        <f>BJ64</f>
        <v/>
      </c>
      <c r="BK97" s="38">
        <f>BK64</f>
        <v/>
      </c>
      <c r="BL97" s="38">
        <f>BL64</f>
        <v/>
      </c>
      <c r="BM97" s="38">
        <f>BM64</f>
        <v/>
      </c>
      <c r="BN97" s="38">
        <f>BN64</f>
        <v/>
      </c>
      <c r="BO97" s="38">
        <f>BO64</f>
        <v/>
      </c>
      <c r="BP97" s="38">
        <f>BP64</f>
        <v/>
      </c>
      <c r="BQ97" s="38">
        <f>BQ64</f>
        <v/>
      </c>
      <c r="BR97" s="31" t="inlineStr">
        <is>
          <t>取自P&amp;L合并净利润。</t>
        </is>
      </c>
    </row>
    <row r="98">
      <c r="A98" s="4" t="inlineStr">
        <is>
          <t>CF</t>
        </is>
      </c>
      <c r="B98" s="7" t="inlineStr">
        <is>
          <t>Depreciation &amp; amortization</t>
        </is>
      </c>
      <c r="C98" s="4" t="inlineStr">
        <is>
          <t>$000</t>
        </is>
      </c>
      <c r="D98" s="36" t="n">
        <v>4865</v>
      </c>
      <c r="E98" s="36" t="n">
        <v>4422</v>
      </c>
      <c r="F98" s="36" t="n">
        <v>4871</v>
      </c>
      <c r="G98" s="36" t="n">
        <v>5531</v>
      </c>
      <c r="H98" s="36" t="n">
        <v>4333</v>
      </c>
      <c r="I98" s="36" t="n">
        <v>7078</v>
      </c>
      <c r="J98" s="36" t="n">
        <v>8119</v>
      </c>
      <c r="K98" s="36" t="n">
        <v>8722</v>
      </c>
      <c r="L98" s="36" t="n">
        <v>8979</v>
      </c>
      <c r="M98" s="36" t="n">
        <v>9108</v>
      </c>
      <c r="N98" s="37">
        <f>BF98+BG98+BH98+BI98</f>
        <v/>
      </c>
      <c r="O98" s="38">
        <f>BJ98+BK98+BL98+BM98</f>
        <v/>
      </c>
      <c r="P98" s="38">
        <f>BN98+BO98+BP98+BQ98</f>
        <v/>
      </c>
      <c r="R98" s="43">
        <f>R45</f>
        <v/>
      </c>
      <c r="S98" s="43">
        <f>S45</f>
        <v/>
      </c>
      <c r="T98" s="43">
        <f>T45</f>
        <v/>
      </c>
      <c r="U98" s="43">
        <f>U45</f>
        <v/>
      </c>
      <c r="V98" s="43">
        <f>V45</f>
        <v/>
      </c>
      <c r="W98" s="43">
        <f>W45</f>
        <v/>
      </c>
      <c r="X98" s="43">
        <f>X45</f>
        <v/>
      </c>
      <c r="Y98" s="43">
        <f>Y45</f>
        <v/>
      </c>
      <c r="Z98" s="43">
        <f>Z45</f>
        <v/>
      </c>
      <c r="AA98" s="43">
        <f>AA45</f>
        <v/>
      </c>
      <c r="AB98" s="43">
        <f>AB45</f>
        <v/>
      </c>
      <c r="AC98" s="43">
        <f>AC45</f>
        <v/>
      </c>
      <c r="AD98" s="43">
        <f>AD45</f>
        <v/>
      </c>
      <c r="AE98" s="43">
        <f>AE45</f>
        <v/>
      </c>
      <c r="AF98" s="43">
        <f>AF45</f>
        <v/>
      </c>
      <c r="AG98" s="43">
        <f>AG45</f>
        <v/>
      </c>
      <c r="AH98" s="43">
        <f>AH45</f>
        <v/>
      </c>
      <c r="AI98" s="43">
        <f>AI45</f>
        <v/>
      </c>
      <c r="AJ98" s="43">
        <f>AJ45</f>
        <v/>
      </c>
      <c r="AK98" s="43">
        <f>AK45</f>
        <v/>
      </c>
      <c r="AL98" s="43">
        <f>AL45</f>
        <v/>
      </c>
      <c r="AM98" s="43">
        <f>AM45</f>
        <v/>
      </c>
      <c r="AN98" s="43">
        <f>AN45</f>
        <v/>
      </c>
      <c r="AO98" s="43">
        <f>AO45</f>
        <v/>
      </c>
      <c r="AP98" s="43">
        <f>AP45</f>
        <v/>
      </c>
      <c r="AQ98" s="43">
        <f>AQ45</f>
        <v/>
      </c>
      <c r="AR98" s="43">
        <f>AR45</f>
        <v/>
      </c>
      <c r="AS98" s="43">
        <f>AS45</f>
        <v/>
      </c>
      <c r="AT98" s="43">
        <f>AT45</f>
        <v/>
      </c>
      <c r="AU98" s="43">
        <f>AU45</f>
        <v/>
      </c>
      <c r="AV98" s="43">
        <f>AV45</f>
        <v/>
      </c>
      <c r="AW98" s="43">
        <f>AW45</f>
        <v/>
      </c>
      <c r="AX98" s="43">
        <f>AX45</f>
        <v/>
      </c>
      <c r="AY98" s="43">
        <f>AY45</f>
        <v/>
      </c>
      <c r="AZ98" s="43">
        <f>AZ45</f>
        <v/>
      </c>
      <c r="BA98" s="43">
        <f>BA45</f>
        <v/>
      </c>
      <c r="BB98" s="43">
        <f>BB45</f>
        <v/>
      </c>
      <c r="BC98" s="43">
        <f>BC45</f>
        <v/>
      </c>
      <c r="BD98" s="43">
        <f>BD45</f>
        <v/>
      </c>
      <c r="BE98" s="43">
        <f>BE45</f>
        <v/>
      </c>
      <c r="BF98" s="43">
        <f>BF45</f>
        <v/>
      </c>
      <c r="BG98" s="43">
        <f>BG45</f>
        <v/>
      </c>
      <c r="BH98" s="38">
        <f>BH45</f>
        <v/>
      </c>
      <c r="BI98" s="38">
        <f>BI45</f>
        <v/>
      </c>
      <c r="BJ98" s="38">
        <f>BJ45</f>
        <v/>
      </c>
      <c r="BK98" s="38">
        <f>BK45</f>
        <v/>
      </c>
      <c r="BL98" s="38">
        <f>BL45</f>
        <v/>
      </c>
      <c r="BM98" s="38">
        <f>BM45</f>
        <v/>
      </c>
      <c r="BN98" s="38">
        <f>BN45</f>
        <v/>
      </c>
      <c r="BO98" s="38">
        <f>BO45</f>
        <v/>
      </c>
      <c r="BP98" s="38">
        <f>BP45</f>
        <v/>
      </c>
      <c r="BQ98" s="38">
        <f>BQ45</f>
        <v/>
      </c>
      <c r="BR98" s="31" t="inlineStr">
        <is>
          <t>加回D&amp;A。</t>
        </is>
      </c>
    </row>
    <row r="99">
      <c r="A99" s="4" t="inlineStr">
        <is>
          <t>CF</t>
        </is>
      </c>
      <c r="B99" s="7" t="inlineStr">
        <is>
          <t>Stock-based compensation</t>
        </is>
      </c>
      <c r="C99" s="4" t="inlineStr">
        <is>
          <t>$000</t>
        </is>
      </c>
      <c r="D99" s="36" t="n">
        <v>1096</v>
      </c>
      <c r="E99" s="36" t="n">
        <v>1405</v>
      </c>
      <c r="F99" s="36" t="n">
        <v>1925</v>
      </c>
      <c r="G99" s="36" t="n">
        <v>2346</v>
      </c>
      <c r="H99" s="36" t="n">
        <v>2623</v>
      </c>
      <c r="I99" s="36" t="n">
        <v>4519</v>
      </c>
      <c r="J99" s="36" t="n">
        <v>4006</v>
      </c>
      <c r="K99" s="36" t="n">
        <v>3540</v>
      </c>
      <c r="L99" s="36" t="n">
        <v>3097</v>
      </c>
      <c r="M99" s="36" t="n">
        <v>3292</v>
      </c>
      <c r="N99" s="37">
        <f>BF99+BG99+BH99+BI99</f>
        <v/>
      </c>
      <c r="O99" s="38">
        <f>BJ99+BK99+BL99+BM99</f>
        <v/>
      </c>
      <c r="P99" s="38">
        <f>BN99+BO99+BP99+BQ99</f>
        <v/>
      </c>
      <c r="R99" s="43">
        <f>R46</f>
        <v/>
      </c>
      <c r="S99" s="43">
        <f>S46</f>
        <v/>
      </c>
      <c r="T99" s="43">
        <f>T46</f>
        <v/>
      </c>
      <c r="U99" s="43">
        <f>U46</f>
        <v/>
      </c>
      <c r="V99" s="43">
        <f>V46</f>
        <v/>
      </c>
      <c r="W99" s="43">
        <f>W46</f>
        <v/>
      </c>
      <c r="X99" s="43">
        <f>X46</f>
        <v/>
      </c>
      <c r="Y99" s="43">
        <f>Y46</f>
        <v/>
      </c>
      <c r="Z99" s="43">
        <f>Z46</f>
        <v/>
      </c>
      <c r="AA99" s="43">
        <f>AA46</f>
        <v/>
      </c>
      <c r="AB99" s="43">
        <f>AB46</f>
        <v/>
      </c>
      <c r="AC99" s="43">
        <f>AC46</f>
        <v/>
      </c>
      <c r="AD99" s="43">
        <f>AD46</f>
        <v/>
      </c>
      <c r="AE99" s="43">
        <f>AE46</f>
        <v/>
      </c>
      <c r="AF99" s="43">
        <f>AF46</f>
        <v/>
      </c>
      <c r="AG99" s="43">
        <f>AG46</f>
        <v/>
      </c>
      <c r="AH99" s="43">
        <f>AH46</f>
        <v/>
      </c>
      <c r="AI99" s="43">
        <f>AI46</f>
        <v/>
      </c>
      <c r="AJ99" s="43">
        <f>AJ46</f>
        <v/>
      </c>
      <c r="AK99" s="43">
        <f>AK46</f>
        <v/>
      </c>
      <c r="AL99" s="43">
        <f>AL46</f>
        <v/>
      </c>
      <c r="AM99" s="43">
        <f>AM46</f>
        <v/>
      </c>
      <c r="AN99" s="43">
        <f>AN46</f>
        <v/>
      </c>
      <c r="AO99" s="43">
        <f>AO46</f>
        <v/>
      </c>
      <c r="AP99" s="43">
        <f>AP46</f>
        <v/>
      </c>
      <c r="AQ99" s="43">
        <f>AQ46</f>
        <v/>
      </c>
      <c r="AR99" s="43">
        <f>AR46</f>
        <v/>
      </c>
      <c r="AS99" s="43">
        <f>AS46</f>
        <v/>
      </c>
      <c r="AT99" s="43">
        <f>AT46</f>
        <v/>
      </c>
      <c r="AU99" s="43">
        <f>AU46</f>
        <v/>
      </c>
      <c r="AV99" s="43">
        <f>AV46</f>
        <v/>
      </c>
      <c r="AW99" s="43">
        <f>AW46</f>
        <v/>
      </c>
      <c r="AX99" s="43">
        <f>AX46</f>
        <v/>
      </c>
      <c r="AY99" s="43">
        <f>AY46</f>
        <v/>
      </c>
      <c r="AZ99" s="43">
        <f>AZ46</f>
        <v/>
      </c>
      <c r="BA99" s="43">
        <f>BA46</f>
        <v/>
      </c>
      <c r="BB99" s="43">
        <f>BB46</f>
        <v/>
      </c>
      <c r="BC99" s="43">
        <f>BC46</f>
        <v/>
      </c>
      <c r="BD99" s="43">
        <f>BD46</f>
        <v/>
      </c>
      <c r="BE99" s="43">
        <f>BE46</f>
        <v/>
      </c>
      <c r="BF99" s="43">
        <f>BF46</f>
        <v/>
      </c>
      <c r="BG99" s="43">
        <f>BG46</f>
        <v/>
      </c>
      <c r="BH99" s="38">
        <f>BH46</f>
        <v/>
      </c>
      <c r="BI99" s="38">
        <f>BI46</f>
        <v/>
      </c>
      <c r="BJ99" s="38">
        <f>BJ46</f>
        <v/>
      </c>
      <c r="BK99" s="38">
        <f>BK46</f>
        <v/>
      </c>
      <c r="BL99" s="38">
        <f>BL46</f>
        <v/>
      </c>
      <c r="BM99" s="38">
        <f>BM46</f>
        <v/>
      </c>
      <c r="BN99" s="38">
        <f>BN46</f>
        <v/>
      </c>
      <c r="BO99" s="38">
        <f>BO46</f>
        <v/>
      </c>
      <c r="BP99" s="38">
        <f>BP46</f>
        <v/>
      </c>
      <c r="BQ99" s="38">
        <f>BQ46</f>
        <v/>
      </c>
      <c r="BR99" s="31" t="inlineStr">
        <is>
          <t>加回SBC。</t>
        </is>
      </c>
    </row>
    <row r="100">
      <c r="A100" s="4" t="inlineStr">
        <is>
          <t>CF</t>
        </is>
      </c>
      <c r="B100" s="7" t="inlineStr">
        <is>
          <t>Less: equity in JV income (non-cash)</t>
        </is>
      </c>
      <c r="C100" s="4" t="inlineStr">
        <is>
          <t>$000</t>
        </is>
      </c>
      <c r="D100" s="36" t="n">
        <v>1995</v>
      </c>
      <c r="E100" s="36" t="n">
        <v>0</v>
      </c>
      <c r="F100" s="36" t="n">
        <v>0</v>
      </c>
      <c r="G100" s="36" t="n">
        <v>0</v>
      </c>
      <c r="H100" s="36" t="n">
        <v>-4410</v>
      </c>
      <c r="I100" s="36" t="n">
        <v>-4410</v>
      </c>
      <c r="J100" s="36" t="n">
        <v>-5960</v>
      </c>
      <c r="K100" s="36" t="n">
        <v>-1884</v>
      </c>
      <c r="L100" s="36" t="n">
        <v>-3439</v>
      </c>
      <c r="M100" s="36" t="n">
        <v>-765</v>
      </c>
      <c r="N100" s="37">
        <f>BF100+BG100+BH100+BI100</f>
        <v/>
      </c>
      <c r="O100" s="38">
        <f>BJ100+BK100+BL100+BM100</f>
        <v/>
      </c>
      <c r="P100" s="38">
        <f>BN100+BO100+BP100+BQ100</f>
        <v/>
      </c>
      <c r="R100" s="43">
        <f>-R60</f>
        <v/>
      </c>
      <c r="S100" s="43">
        <f>-S60</f>
        <v/>
      </c>
      <c r="T100" s="43">
        <f>-T60</f>
        <v/>
      </c>
      <c r="U100" s="43">
        <f>-U60</f>
        <v/>
      </c>
      <c r="V100" s="43">
        <f>-V60</f>
        <v/>
      </c>
      <c r="W100" s="43">
        <f>-W60</f>
        <v/>
      </c>
      <c r="X100" s="43">
        <f>-X60</f>
        <v/>
      </c>
      <c r="Y100" s="43">
        <f>-Y60</f>
        <v/>
      </c>
      <c r="Z100" s="43">
        <f>-Z60</f>
        <v/>
      </c>
      <c r="AA100" s="43">
        <f>-AA60</f>
        <v/>
      </c>
      <c r="AB100" s="43">
        <f>-AB60</f>
        <v/>
      </c>
      <c r="AC100" s="43">
        <f>-AC60</f>
        <v/>
      </c>
      <c r="AD100" s="43">
        <f>-AD60</f>
        <v/>
      </c>
      <c r="AE100" s="43">
        <f>-AE60</f>
        <v/>
      </c>
      <c r="AF100" s="43">
        <f>-AF60</f>
        <v/>
      </c>
      <c r="AG100" s="43">
        <f>-AG60</f>
        <v/>
      </c>
      <c r="AH100" s="43">
        <f>-AH60</f>
        <v/>
      </c>
      <c r="AI100" s="43">
        <f>-AI60</f>
        <v/>
      </c>
      <c r="AJ100" s="43">
        <f>-AJ60</f>
        <v/>
      </c>
      <c r="AK100" s="43">
        <f>-AK60</f>
        <v/>
      </c>
      <c r="AL100" s="43">
        <f>-AL60</f>
        <v/>
      </c>
      <c r="AM100" s="43">
        <f>-AM60</f>
        <v/>
      </c>
      <c r="AN100" s="43">
        <f>-AN60</f>
        <v/>
      </c>
      <c r="AO100" s="43">
        <f>-AO60</f>
        <v/>
      </c>
      <c r="AP100" s="43">
        <f>-AP60</f>
        <v/>
      </c>
      <c r="AQ100" s="43">
        <f>-AQ60</f>
        <v/>
      </c>
      <c r="AR100" s="43">
        <f>-AR60</f>
        <v/>
      </c>
      <c r="AS100" s="43">
        <f>-AS60</f>
        <v/>
      </c>
      <c r="AT100" s="43">
        <f>-AT60</f>
        <v/>
      </c>
      <c r="AU100" s="43">
        <f>-AU60</f>
        <v/>
      </c>
      <c r="AV100" s="43">
        <f>-AV60</f>
        <v/>
      </c>
      <c r="AW100" s="43">
        <f>-AW60</f>
        <v/>
      </c>
      <c r="AX100" s="43">
        <f>-AX60</f>
        <v/>
      </c>
      <c r="AY100" s="43">
        <f>-AY60</f>
        <v/>
      </c>
      <c r="AZ100" s="43">
        <f>-AZ60</f>
        <v/>
      </c>
      <c r="BA100" s="43">
        <f>-BA60</f>
        <v/>
      </c>
      <c r="BB100" s="43">
        <f>-BB60</f>
        <v/>
      </c>
      <c r="BC100" s="43">
        <f>-BC60</f>
        <v/>
      </c>
      <c r="BD100" s="43">
        <f>-BD60</f>
        <v/>
      </c>
      <c r="BE100" s="43">
        <f>-BE60</f>
        <v/>
      </c>
      <c r="BF100" s="43">
        <f>-BF60</f>
        <v/>
      </c>
      <c r="BG100" s="43">
        <f>-BG60</f>
        <v/>
      </c>
      <c r="BH100" s="38">
        <f>0</f>
        <v/>
      </c>
      <c r="BI100" s="38">
        <f>0</f>
        <v/>
      </c>
      <c r="BJ100" s="38">
        <f>0</f>
        <v/>
      </c>
      <c r="BK100" s="38">
        <f>0</f>
        <v/>
      </c>
      <c r="BL100" s="38">
        <f>0</f>
        <v/>
      </c>
      <c r="BM100" s="38">
        <f>0</f>
        <v/>
      </c>
      <c r="BN100" s="38">
        <f>0</f>
        <v/>
      </c>
      <c r="BO100" s="38">
        <f>0</f>
        <v/>
      </c>
      <c r="BP100" s="38">
        <f>0</f>
        <v/>
      </c>
      <c r="BQ100" s="38">
        <f>0</f>
        <v/>
      </c>
      <c r="BR100" s="31" t="inlineStr">
        <is>
          <t>扣除权益法收益（非现金）；JV分红未单独预测，偏保守。</t>
        </is>
      </c>
    </row>
    <row r="101">
      <c r="A101" s="4" t="inlineStr">
        <is>
          <t>CF</t>
        </is>
      </c>
      <c r="B101" s="7" t="inlineStr">
        <is>
          <t>Change in accounts receivable (use of cash)</t>
        </is>
      </c>
      <c r="C101" s="4" t="inlineStr">
        <is>
          <t>$000</t>
        </is>
      </c>
      <c r="D101" s="36" t="n">
        <v>0</v>
      </c>
      <c r="E101" s="43">
        <f>-(E74-D74)</f>
        <v/>
      </c>
      <c r="F101" s="43">
        <f>-(F74-E74)</f>
        <v/>
      </c>
      <c r="G101" s="43">
        <f>-(G74-F74)</f>
        <v/>
      </c>
      <c r="H101" s="43">
        <f>-(H74-G74)</f>
        <v/>
      </c>
      <c r="I101" s="43">
        <f>-(I74-H74)</f>
        <v/>
      </c>
      <c r="J101" s="43">
        <f>-(J74-I74)</f>
        <v/>
      </c>
      <c r="K101" s="43">
        <f>-(K74-J74)</f>
        <v/>
      </c>
      <c r="L101" s="43">
        <f>-(L74-K74)</f>
        <v/>
      </c>
      <c r="M101" s="43">
        <f>-(M74-L74)</f>
        <v/>
      </c>
      <c r="N101" s="37">
        <f>BF101+BG101+BH101+BI101</f>
        <v/>
      </c>
      <c r="O101" s="38">
        <f>BJ101+BK101+BL101+BM101</f>
        <v/>
      </c>
      <c r="P101" s="38">
        <f>BN101+BO101+BP101+BQ101</f>
        <v/>
      </c>
      <c r="R101" s="36" t="n">
        <v>0</v>
      </c>
      <c r="S101" s="43">
        <f>-(S74-R74)</f>
        <v/>
      </c>
      <c r="T101" s="43">
        <f>-(T74-S74)</f>
        <v/>
      </c>
      <c r="U101" s="43">
        <f>-(U74-T74)</f>
        <v/>
      </c>
      <c r="V101" s="43">
        <f>-(V74-U74)</f>
        <v/>
      </c>
      <c r="W101" s="43">
        <f>-(W74-V74)</f>
        <v/>
      </c>
      <c r="X101" s="43">
        <f>-(X74-W74)</f>
        <v/>
      </c>
      <c r="Y101" s="43">
        <f>-(Y74-X74)</f>
        <v/>
      </c>
      <c r="Z101" s="43">
        <f>-(Z74-Y74)</f>
        <v/>
      </c>
      <c r="AA101" s="43">
        <f>-(AA74-Z74)</f>
        <v/>
      </c>
      <c r="AB101" s="43">
        <f>-(AB74-AA74)</f>
        <v/>
      </c>
      <c r="AC101" s="43">
        <f>-(AC74-AB74)</f>
        <v/>
      </c>
      <c r="AD101" s="43">
        <f>-(AD74-AC74)</f>
        <v/>
      </c>
      <c r="AE101" s="43">
        <f>-(AE74-AD74)</f>
        <v/>
      </c>
      <c r="AF101" s="43">
        <f>-(AF74-AE74)</f>
        <v/>
      </c>
      <c r="AG101" s="43">
        <f>-(AG74-AF74)</f>
        <v/>
      </c>
      <c r="AH101" s="43">
        <f>-(AH74-AG74)</f>
        <v/>
      </c>
      <c r="AI101" s="43">
        <f>-(AI74-AH74)</f>
        <v/>
      </c>
      <c r="AJ101" s="43">
        <f>-(AJ74-AI74)</f>
        <v/>
      </c>
      <c r="AK101" s="43">
        <f>-(AK74-AJ74)</f>
        <v/>
      </c>
      <c r="AL101" s="43">
        <f>-(AL74-AK74)</f>
        <v/>
      </c>
      <c r="AM101" s="43">
        <f>-(AM74-AL74)</f>
        <v/>
      </c>
      <c r="AN101" s="43">
        <f>-(AN74-AM74)</f>
        <v/>
      </c>
      <c r="AO101" s="43">
        <f>-(AO74-AN74)</f>
        <v/>
      </c>
      <c r="AP101" s="43">
        <f>-(AP74-AO74)</f>
        <v/>
      </c>
      <c r="AQ101" s="43">
        <f>-(AQ74-AP74)</f>
        <v/>
      </c>
      <c r="AR101" s="43">
        <f>-(AR74-AQ74)</f>
        <v/>
      </c>
      <c r="AS101" s="43">
        <f>-(AS74-AR74)</f>
        <v/>
      </c>
      <c r="AT101" s="43">
        <f>-(AT74-AS74)</f>
        <v/>
      </c>
      <c r="AU101" s="43">
        <f>-(AU74-AT74)</f>
        <v/>
      </c>
      <c r="AV101" s="43">
        <f>-(AV74-AU74)</f>
        <v/>
      </c>
      <c r="AW101" s="43">
        <f>-(AW74-AV74)</f>
        <v/>
      </c>
      <c r="AX101" s="43">
        <f>-(AX74-AW74)</f>
        <v/>
      </c>
      <c r="AY101" s="43">
        <f>-(AY74-AX74)</f>
        <v/>
      </c>
      <c r="AZ101" s="43">
        <f>-(AZ74-AY74)</f>
        <v/>
      </c>
      <c r="BA101" s="43">
        <f>-(BA74-AZ74)</f>
        <v/>
      </c>
      <c r="BB101" s="43">
        <f>-(BB74-BA74)</f>
        <v/>
      </c>
      <c r="BC101" s="43">
        <f>-(BC74-BB74)</f>
        <v/>
      </c>
      <c r="BD101" s="43">
        <f>-(BD74-BC74)</f>
        <v/>
      </c>
      <c r="BE101" s="43">
        <f>-(BE74-BD74)</f>
        <v/>
      </c>
      <c r="BF101" s="43">
        <f>-(BF74-BE74)</f>
        <v/>
      </c>
      <c r="BG101" s="43">
        <f>-(BG74-BF74)</f>
        <v/>
      </c>
      <c r="BH101" s="38">
        <f>-(BH74-BG74)</f>
        <v/>
      </c>
      <c r="BI101" s="38">
        <f>-(BI74-BH74)</f>
        <v/>
      </c>
      <c r="BJ101" s="38">
        <f>-(BJ74-BI74)</f>
        <v/>
      </c>
      <c r="BK101" s="38">
        <f>-(BK74-BJ74)</f>
        <v/>
      </c>
      <c r="BL101" s="38">
        <f>-(BL74-BK74)</f>
        <v/>
      </c>
      <c r="BM101" s="38">
        <f>-(BM74-BL74)</f>
        <v/>
      </c>
      <c r="BN101" s="38">
        <f>-(BN74-BM74)</f>
        <v/>
      </c>
      <c r="BO101" s="38">
        <f>-(BO74-BN74)</f>
        <v/>
      </c>
      <c r="BP101" s="38">
        <f>-(BP74-BO74)</f>
        <v/>
      </c>
      <c r="BQ101" s="38">
        <f>-(BQ74-BP74)</f>
        <v/>
      </c>
      <c r="BR101" s="31" t="inlineStr">
        <is>
          <t>−ΔAR。</t>
        </is>
      </c>
    </row>
    <row r="102">
      <c r="A102" s="4" t="inlineStr">
        <is>
          <t>CF</t>
        </is>
      </c>
      <c r="B102" s="7" t="inlineStr">
        <is>
          <t>Change in inventories</t>
        </is>
      </c>
      <c r="C102" s="4" t="inlineStr">
        <is>
          <t>$000</t>
        </is>
      </c>
      <c r="D102" s="36" t="n">
        <v>0</v>
      </c>
      <c r="E102" s="43">
        <f>-(E75-D75)</f>
        <v/>
      </c>
      <c r="F102" s="43">
        <f>-(F75-E75)</f>
        <v/>
      </c>
      <c r="G102" s="43">
        <f>-(G75-F75)</f>
        <v/>
      </c>
      <c r="H102" s="43">
        <f>-(H75-G75)</f>
        <v/>
      </c>
      <c r="I102" s="43">
        <f>-(I75-H75)</f>
        <v/>
      </c>
      <c r="J102" s="43">
        <f>-(J75-I75)</f>
        <v/>
      </c>
      <c r="K102" s="43">
        <f>-(K75-J75)</f>
        <v/>
      </c>
      <c r="L102" s="43">
        <f>-(L75-K75)</f>
        <v/>
      </c>
      <c r="M102" s="43">
        <f>-(M75-L75)</f>
        <v/>
      </c>
      <c r="N102" s="37">
        <f>BF102+BG102+BH102+BI102</f>
        <v/>
      </c>
      <c r="O102" s="38">
        <f>BJ102+BK102+BL102+BM102</f>
        <v/>
      </c>
      <c r="P102" s="38">
        <f>BN102+BO102+BP102+BQ102</f>
        <v/>
      </c>
      <c r="R102" s="36" t="n">
        <v>0</v>
      </c>
      <c r="S102" s="43">
        <f>-(S75-R75)</f>
        <v/>
      </c>
      <c r="T102" s="43">
        <f>-(T75-S75)</f>
        <v/>
      </c>
      <c r="U102" s="43">
        <f>-(U75-T75)</f>
        <v/>
      </c>
      <c r="V102" s="43">
        <f>-(V75-U75)</f>
        <v/>
      </c>
      <c r="W102" s="43">
        <f>-(W75-V75)</f>
        <v/>
      </c>
      <c r="X102" s="43">
        <f>-(X75-W75)</f>
        <v/>
      </c>
      <c r="Y102" s="43">
        <f>-(Y75-X75)</f>
        <v/>
      </c>
      <c r="Z102" s="43">
        <f>-(Z75-Y75)</f>
        <v/>
      </c>
      <c r="AA102" s="43">
        <f>-(AA75-Z75)</f>
        <v/>
      </c>
      <c r="AB102" s="43">
        <f>-(AB75-AA75)</f>
        <v/>
      </c>
      <c r="AC102" s="43">
        <f>-(AC75-AB75)</f>
        <v/>
      </c>
      <c r="AD102" s="43">
        <f>-(AD75-AC75)</f>
        <v/>
      </c>
      <c r="AE102" s="43">
        <f>-(AE75-AD75)</f>
        <v/>
      </c>
      <c r="AF102" s="43">
        <f>-(AF75-AE75)</f>
        <v/>
      </c>
      <c r="AG102" s="43">
        <f>-(AG75-AF75)</f>
        <v/>
      </c>
      <c r="AH102" s="43">
        <f>-(AH75-AG75)</f>
        <v/>
      </c>
      <c r="AI102" s="43">
        <f>-(AI75-AH75)</f>
        <v/>
      </c>
      <c r="AJ102" s="43">
        <f>-(AJ75-AI75)</f>
        <v/>
      </c>
      <c r="AK102" s="43">
        <f>-(AK75-AJ75)</f>
        <v/>
      </c>
      <c r="AL102" s="43">
        <f>-(AL75-AK75)</f>
        <v/>
      </c>
      <c r="AM102" s="43">
        <f>-(AM75-AL75)</f>
        <v/>
      </c>
      <c r="AN102" s="43">
        <f>-(AN75-AM75)</f>
        <v/>
      </c>
      <c r="AO102" s="43">
        <f>-(AO75-AN75)</f>
        <v/>
      </c>
      <c r="AP102" s="43">
        <f>-(AP75-AO75)</f>
        <v/>
      </c>
      <c r="AQ102" s="43">
        <f>-(AQ75-AP75)</f>
        <v/>
      </c>
      <c r="AR102" s="43">
        <f>-(AR75-AQ75)</f>
        <v/>
      </c>
      <c r="AS102" s="43">
        <f>-(AS75-AR75)</f>
        <v/>
      </c>
      <c r="AT102" s="43">
        <f>-(AT75-AS75)</f>
        <v/>
      </c>
      <c r="AU102" s="43">
        <f>-(AU75-AT75)</f>
        <v/>
      </c>
      <c r="AV102" s="43">
        <f>-(AV75-AU75)</f>
        <v/>
      </c>
      <c r="AW102" s="43">
        <f>-(AW75-AV75)</f>
        <v/>
      </c>
      <c r="AX102" s="43">
        <f>-(AX75-AW75)</f>
        <v/>
      </c>
      <c r="AY102" s="43">
        <f>-(AY75-AX75)</f>
        <v/>
      </c>
      <c r="AZ102" s="43">
        <f>-(AZ75-AY75)</f>
        <v/>
      </c>
      <c r="BA102" s="43">
        <f>-(BA75-AZ75)</f>
        <v/>
      </c>
      <c r="BB102" s="43">
        <f>-(BB75-BA75)</f>
        <v/>
      </c>
      <c r="BC102" s="43">
        <f>-(BC75-BB75)</f>
        <v/>
      </c>
      <c r="BD102" s="43">
        <f>-(BD75-BC75)</f>
        <v/>
      </c>
      <c r="BE102" s="43">
        <f>-(BE75-BD75)</f>
        <v/>
      </c>
      <c r="BF102" s="43">
        <f>-(BF75-BE75)</f>
        <v/>
      </c>
      <c r="BG102" s="43">
        <f>-(BG75-BF75)</f>
        <v/>
      </c>
      <c r="BH102" s="38">
        <f>-(BH75-BG75)</f>
        <v/>
      </c>
      <c r="BI102" s="38">
        <f>-(BI75-BH75)</f>
        <v/>
      </c>
      <c r="BJ102" s="38">
        <f>-(BJ75-BI75)</f>
        <v/>
      </c>
      <c r="BK102" s="38">
        <f>-(BK75-BJ75)</f>
        <v/>
      </c>
      <c r="BL102" s="38">
        <f>-(BL75-BK75)</f>
        <v/>
      </c>
      <c r="BM102" s="38">
        <f>-(BM75-BL75)</f>
        <v/>
      </c>
      <c r="BN102" s="38">
        <f>-(BN75-BM75)</f>
        <v/>
      </c>
      <c r="BO102" s="38">
        <f>-(BO75-BN75)</f>
        <v/>
      </c>
      <c r="BP102" s="38">
        <f>-(BP75-BO75)</f>
        <v/>
      </c>
      <c r="BQ102" s="38">
        <f>-(BQ75-BP75)</f>
        <v/>
      </c>
      <c r="BR102" s="31" t="inlineStr">
        <is>
          <t>−ΔInv。</t>
        </is>
      </c>
    </row>
    <row r="103">
      <c r="A103" s="4" t="inlineStr">
        <is>
          <t>CF</t>
        </is>
      </c>
      <c r="B103" s="7" t="inlineStr">
        <is>
          <t>Change in other current assets</t>
        </is>
      </c>
      <c r="C103" s="4" t="inlineStr">
        <is>
          <t>$000</t>
        </is>
      </c>
      <c r="D103" s="36" t="n">
        <v>0</v>
      </c>
      <c r="E103" s="43">
        <f>-(E76-D76)</f>
        <v/>
      </c>
      <c r="F103" s="43">
        <f>-(F76-E76)</f>
        <v/>
      </c>
      <c r="G103" s="43">
        <f>-(G76-F76)</f>
        <v/>
      </c>
      <c r="H103" s="43">
        <f>-(H76-G76)</f>
        <v/>
      </c>
      <c r="I103" s="43">
        <f>-(I76-H76)</f>
        <v/>
      </c>
      <c r="J103" s="43">
        <f>-(J76-I76)</f>
        <v/>
      </c>
      <c r="K103" s="43">
        <f>-(K76-J76)</f>
        <v/>
      </c>
      <c r="L103" s="43">
        <f>-(L76-K76)</f>
        <v/>
      </c>
      <c r="M103" s="43">
        <f>-(M76-L76)</f>
        <v/>
      </c>
      <c r="N103" s="37">
        <f>BF103+BG103+BH103+BI103</f>
        <v/>
      </c>
      <c r="O103" s="38">
        <f>BJ103+BK103+BL103+BM103</f>
        <v/>
      </c>
      <c r="P103" s="38">
        <f>BN103+BO103+BP103+BQ103</f>
        <v/>
      </c>
      <c r="R103" s="36" t="n">
        <v>0</v>
      </c>
      <c r="S103" s="43">
        <f>-(S76-R76)</f>
        <v/>
      </c>
      <c r="T103" s="43">
        <f>-(T76-S76)</f>
        <v/>
      </c>
      <c r="U103" s="43">
        <f>-(U76-T76)</f>
        <v/>
      </c>
      <c r="V103" s="43">
        <f>-(V76-U76)</f>
        <v/>
      </c>
      <c r="W103" s="43">
        <f>-(W76-V76)</f>
        <v/>
      </c>
      <c r="X103" s="43">
        <f>-(X76-W76)</f>
        <v/>
      </c>
      <c r="Y103" s="43">
        <f>-(Y76-X76)</f>
        <v/>
      </c>
      <c r="Z103" s="43">
        <f>-(Z76-Y76)</f>
        <v/>
      </c>
      <c r="AA103" s="43">
        <f>-(AA76-Z76)</f>
        <v/>
      </c>
      <c r="AB103" s="43">
        <f>-(AB76-AA76)</f>
        <v/>
      </c>
      <c r="AC103" s="43">
        <f>-(AC76-AB76)</f>
        <v/>
      </c>
      <c r="AD103" s="43">
        <f>-(AD76-AC76)</f>
        <v/>
      </c>
      <c r="AE103" s="43">
        <f>-(AE76-AD76)</f>
        <v/>
      </c>
      <c r="AF103" s="43">
        <f>-(AF76-AE76)</f>
        <v/>
      </c>
      <c r="AG103" s="43">
        <f>-(AG76-AF76)</f>
        <v/>
      </c>
      <c r="AH103" s="43">
        <f>-(AH76-AG76)</f>
        <v/>
      </c>
      <c r="AI103" s="43">
        <f>-(AI76-AH76)</f>
        <v/>
      </c>
      <c r="AJ103" s="43">
        <f>-(AJ76-AI76)</f>
        <v/>
      </c>
      <c r="AK103" s="43">
        <f>-(AK76-AJ76)</f>
        <v/>
      </c>
      <c r="AL103" s="43">
        <f>-(AL76-AK76)</f>
        <v/>
      </c>
      <c r="AM103" s="43">
        <f>-(AM76-AL76)</f>
        <v/>
      </c>
      <c r="AN103" s="43">
        <f>-(AN76-AM76)</f>
        <v/>
      </c>
      <c r="AO103" s="43">
        <f>-(AO76-AN76)</f>
        <v/>
      </c>
      <c r="AP103" s="43">
        <f>-(AP76-AO76)</f>
        <v/>
      </c>
      <c r="AQ103" s="43">
        <f>-(AQ76-AP76)</f>
        <v/>
      </c>
      <c r="AR103" s="43">
        <f>-(AR76-AQ76)</f>
        <v/>
      </c>
      <c r="AS103" s="43">
        <f>-(AS76-AR76)</f>
        <v/>
      </c>
      <c r="AT103" s="43">
        <f>-(AT76-AS76)</f>
        <v/>
      </c>
      <c r="AU103" s="43">
        <f>-(AU76-AT76)</f>
        <v/>
      </c>
      <c r="AV103" s="43">
        <f>-(AV76-AU76)</f>
        <v/>
      </c>
      <c r="AW103" s="43">
        <f>-(AW76-AV76)</f>
        <v/>
      </c>
      <c r="AX103" s="43">
        <f>-(AX76-AW76)</f>
        <v/>
      </c>
      <c r="AY103" s="43">
        <f>-(AY76-AX76)</f>
        <v/>
      </c>
      <c r="AZ103" s="43">
        <f>-(AZ76-AY76)</f>
        <v/>
      </c>
      <c r="BA103" s="43">
        <f>-(BA76-AZ76)</f>
        <v/>
      </c>
      <c r="BB103" s="43">
        <f>-(BB76-BA76)</f>
        <v/>
      </c>
      <c r="BC103" s="43">
        <f>-(BC76-BB76)</f>
        <v/>
      </c>
      <c r="BD103" s="43">
        <f>-(BD76-BC76)</f>
        <v/>
      </c>
      <c r="BE103" s="43">
        <f>-(BE76-BD76)</f>
        <v/>
      </c>
      <c r="BF103" s="43">
        <f>-(BF76-BE76)</f>
        <v/>
      </c>
      <c r="BG103" s="43">
        <f>-(BG76-BF76)</f>
        <v/>
      </c>
      <c r="BH103" s="38">
        <f>-(BH76-BG76)</f>
        <v/>
      </c>
      <c r="BI103" s="38">
        <f>-(BI76-BH76)</f>
        <v/>
      </c>
      <c r="BJ103" s="38">
        <f>-(BJ76-BI76)</f>
        <v/>
      </c>
      <c r="BK103" s="38">
        <f>-(BK76-BJ76)</f>
        <v/>
      </c>
      <c r="BL103" s="38">
        <f>-(BL76-BK76)</f>
        <v/>
      </c>
      <c r="BM103" s="38">
        <f>-(BM76-BL76)</f>
        <v/>
      </c>
      <c r="BN103" s="38">
        <f>-(BN76-BM76)</f>
        <v/>
      </c>
      <c r="BO103" s="38">
        <f>-(BO76-BN76)</f>
        <v/>
      </c>
      <c r="BP103" s="38">
        <f>-(BP76-BO76)</f>
        <v/>
      </c>
      <c r="BQ103" s="38">
        <f>-(BQ76-BP76)</f>
        <v/>
      </c>
      <c r="BR103" s="31" t="inlineStr">
        <is>
          <t>−ΔOCA。</t>
        </is>
      </c>
    </row>
    <row r="104">
      <c r="A104" s="4" t="inlineStr">
        <is>
          <t>CF</t>
        </is>
      </c>
      <c r="B104" s="7" t="inlineStr">
        <is>
          <t>Change in accounts payable</t>
        </is>
      </c>
      <c r="C104" s="4" t="inlineStr">
        <is>
          <t>$000</t>
        </is>
      </c>
      <c r="D104" s="36" t="n">
        <v>0</v>
      </c>
      <c r="E104" s="43">
        <f>E81-D81</f>
        <v/>
      </c>
      <c r="F104" s="43">
        <f>F81-E81</f>
        <v/>
      </c>
      <c r="G104" s="43">
        <f>G81-F81</f>
        <v/>
      </c>
      <c r="H104" s="43">
        <f>H81-G81</f>
        <v/>
      </c>
      <c r="I104" s="43">
        <f>I81-H81</f>
        <v/>
      </c>
      <c r="J104" s="43">
        <f>J81-I81</f>
        <v/>
      </c>
      <c r="K104" s="43">
        <f>K81-J81</f>
        <v/>
      </c>
      <c r="L104" s="43">
        <f>L81-K81</f>
        <v/>
      </c>
      <c r="M104" s="43">
        <f>M81-L81</f>
        <v/>
      </c>
      <c r="N104" s="37">
        <f>BF104+BG104+BH104+BI104</f>
        <v/>
      </c>
      <c r="O104" s="38">
        <f>BJ104+BK104+BL104+BM104</f>
        <v/>
      </c>
      <c r="P104" s="38">
        <f>BN104+BO104+BP104+BQ104</f>
        <v/>
      </c>
      <c r="R104" s="36" t="n">
        <v>0</v>
      </c>
      <c r="S104" s="43">
        <f>S81-R81</f>
        <v/>
      </c>
      <c r="T104" s="43">
        <f>T81-S81</f>
        <v/>
      </c>
      <c r="U104" s="43">
        <f>U81-T81</f>
        <v/>
      </c>
      <c r="V104" s="43">
        <f>V81-U81</f>
        <v/>
      </c>
      <c r="W104" s="43">
        <f>W81-V81</f>
        <v/>
      </c>
      <c r="X104" s="43">
        <f>X81-W81</f>
        <v/>
      </c>
      <c r="Y104" s="43">
        <f>Y81-X81</f>
        <v/>
      </c>
      <c r="Z104" s="43">
        <f>Z81-Y81</f>
        <v/>
      </c>
      <c r="AA104" s="43">
        <f>AA81-Z81</f>
        <v/>
      </c>
      <c r="AB104" s="43">
        <f>AB81-AA81</f>
        <v/>
      </c>
      <c r="AC104" s="43">
        <f>AC81-AB81</f>
        <v/>
      </c>
      <c r="AD104" s="43">
        <f>AD81-AC81</f>
        <v/>
      </c>
      <c r="AE104" s="43">
        <f>AE81-AD81</f>
        <v/>
      </c>
      <c r="AF104" s="43">
        <f>AF81-AE81</f>
        <v/>
      </c>
      <c r="AG104" s="43">
        <f>AG81-AF81</f>
        <v/>
      </c>
      <c r="AH104" s="43">
        <f>AH81-AG81</f>
        <v/>
      </c>
      <c r="AI104" s="43">
        <f>AI81-AH81</f>
        <v/>
      </c>
      <c r="AJ104" s="43">
        <f>AJ81-AI81</f>
        <v/>
      </c>
      <c r="AK104" s="43">
        <f>AK81-AJ81</f>
        <v/>
      </c>
      <c r="AL104" s="43">
        <f>AL81-AK81</f>
        <v/>
      </c>
      <c r="AM104" s="43">
        <f>AM81-AL81</f>
        <v/>
      </c>
      <c r="AN104" s="43">
        <f>AN81-AM81</f>
        <v/>
      </c>
      <c r="AO104" s="43">
        <f>AO81-AN81</f>
        <v/>
      </c>
      <c r="AP104" s="43">
        <f>AP81-AO81</f>
        <v/>
      </c>
      <c r="AQ104" s="43">
        <f>AQ81-AP81</f>
        <v/>
      </c>
      <c r="AR104" s="43">
        <f>AR81-AQ81</f>
        <v/>
      </c>
      <c r="AS104" s="43">
        <f>AS81-AR81</f>
        <v/>
      </c>
      <c r="AT104" s="43">
        <f>AT81-AS81</f>
        <v/>
      </c>
      <c r="AU104" s="43">
        <f>AU81-AT81</f>
        <v/>
      </c>
      <c r="AV104" s="43">
        <f>AV81-AU81</f>
        <v/>
      </c>
      <c r="AW104" s="43">
        <f>AW81-AV81</f>
        <v/>
      </c>
      <c r="AX104" s="43">
        <f>AX81-AW81</f>
        <v/>
      </c>
      <c r="AY104" s="43">
        <f>AY81-AX81</f>
        <v/>
      </c>
      <c r="AZ104" s="43">
        <f>AZ81-AY81</f>
        <v/>
      </c>
      <c r="BA104" s="43">
        <f>BA81-AZ81</f>
        <v/>
      </c>
      <c r="BB104" s="43">
        <f>BB81-BA81</f>
        <v/>
      </c>
      <c r="BC104" s="43">
        <f>BC81-BB81</f>
        <v/>
      </c>
      <c r="BD104" s="43">
        <f>BD81-BC81</f>
        <v/>
      </c>
      <c r="BE104" s="43">
        <f>BE81-BD81</f>
        <v/>
      </c>
      <c r="BF104" s="43">
        <f>BF81-BE81</f>
        <v/>
      </c>
      <c r="BG104" s="43">
        <f>BG81-BF81</f>
        <v/>
      </c>
      <c r="BH104" s="38">
        <f>BH81-BG81</f>
        <v/>
      </c>
      <c r="BI104" s="38">
        <f>BI81-BH81</f>
        <v/>
      </c>
      <c r="BJ104" s="38">
        <f>BJ81-BI81</f>
        <v/>
      </c>
      <c r="BK104" s="38">
        <f>BK81-BJ81</f>
        <v/>
      </c>
      <c r="BL104" s="38">
        <f>BL81-BK81</f>
        <v/>
      </c>
      <c r="BM104" s="38">
        <f>BM81-BL81</f>
        <v/>
      </c>
      <c r="BN104" s="38">
        <f>BN81-BM81</f>
        <v/>
      </c>
      <c r="BO104" s="38">
        <f>BO81-BN81</f>
        <v/>
      </c>
      <c r="BP104" s="38">
        <f>BP81-BO81</f>
        <v/>
      </c>
      <c r="BQ104" s="38">
        <f>BQ81-BP81</f>
        <v/>
      </c>
      <c r="BR104" s="31" t="inlineStr">
        <is>
          <t>+ΔAP。</t>
        </is>
      </c>
    </row>
    <row r="105">
      <c r="A105" s="4" t="inlineStr">
        <is>
          <t>CF</t>
        </is>
      </c>
      <c r="B105" s="7" t="inlineStr">
        <is>
          <t>Change in other current &amp; LT operating liabilities</t>
        </is>
      </c>
      <c r="C105" s="4" t="inlineStr">
        <is>
          <t>$000</t>
        </is>
      </c>
      <c r="D105" s="36" t="n">
        <v>0</v>
      </c>
      <c r="E105" s="43">
        <f>(E83-D83)+(E86-D86)</f>
        <v/>
      </c>
      <c r="F105" s="43">
        <f>(F83-E83)+(F86-E86)</f>
        <v/>
      </c>
      <c r="G105" s="43">
        <f>(G83-F83)+(G86-F86)</f>
        <v/>
      </c>
      <c r="H105" s="43">
        <f>(H83-G83)+(H86-G86)</f>
        <v/>
      </c>
      <c r="I105" s="43">
        <f>(I83-H83)+(I86-H86)</f>
        <v/>
      </c>
      <c r="J105" s="43">
        <f>(J83-I83)+(J86-I86)</f>
        <v/>
      </c>
      <c r="K105" s="43">
        <f>(K83-J83)+(K86-J86)</f>
        <v/>
      </c>
      <c r="L105" s="43">
        <f>(L83-K83)+(L86-K86)</f>
        <v/>
      </c>
      <c r="M105" s="43">
        <f>(M83-L83)+(M86-L86)</f>
        <v/>
      </c>
      <c r="N105" s="37">
        <f>BF105+BG105+BH105+BI105</f>
        <v/>
      </c>
      <c r="O105" s="38">
        <f>BJ105+BK105+BL105+BM105</f>
        <v/>
      </c>
      <c r="P105" s="38">
        <f>BN105+BO105+BP105+BQ105</f>
        <v/>
      </c>
      <c r="R105" s="36" t="n">
        <v>0</v>
      </c>
      <c r="S105" s="43">
        <f>(S83-R83)+(S86-R86)</f>
        <v/>
      </c>
      <c r="T105" s="43">
        <f>(T83-S83)+(T86-S86)</f>
        <v/>
      </c>
      <c r="U105" s="43">
        <f>(U83-T83)+(U86-T86)</f>
        <v/>
      </c>
      <c r="V105" s="43">
        <f>(V83-U83)+(V86-U86)</f>
        <v/>
      </c>
      <c r="W105" s="43">
        <f>(W83-V83)+(W86-V86)</f>
        <v/>
      </c>
      <c r="X105" s="43">
        <f>(X83-W83)+(X86-W86)</f>
        <v/>
      </c>
      <c r="Y105" s="43">
        <f>(Y83-X83)+(Y86-X86)</f>
        <v/>
      </c>
      <c r="Z105" s="43">
        <f>(Z83-Y83)+(Z86-Y86)</f>
        <v/>
      </c>
      <c r="AA105" s="43">
        <f>(AA83-Z83)+(AA86-Z86)</f>
        <v/>
      </c>
      <c r="AB105" s="43">
        <f>(AB83-AA83)+(AB86-AA86)</f>
        <v/>
      </c>
      <c r="AC105" s="43">
        <f>(AC83-AB83)+(AC86-AB86)</f>
        <v/>
      </c>
      <c r="AD105" s="43">
        <f>(AD83-AC83)+(AD86-AC86)</f>
        <v/>
      </c>
      <c r="AE105" s="43">
        <f>(AE83-AD83)+(AE86-AD86)</f>
        <v/>
      </c>
      <c r="AF105" s="43">
        <f>(AF83-AE83)+(AF86-AE86)</f>
        <v/>
      </c>
      <c r="AG105" s="43">
        <f>(AG83-AF83)+(AG86-AF86)</f>
        <v/>
      </c>
      <c r="AH105" s="43">
        <f>(AH83-AG83)+(AH86-AG86)</f>
        <v/>
      </c>
      <c r="AI105" s="43">
        <f>(AI83-AH83)+(AI86-AH86)</f>
        <v/>
      </c>
      <c r="AJ105" s="43">
        <f>(AJ83-AI83)+(AJ86-AI86)</f>
        <v/>
      </c>
      <c r="AK105" s="43">
        <f>(AK83-AJ83)+(AK86-AJ86)</f>
        <v/>
      </c>
      <c r="AL105" s="43">
        <f>(AL83-AK83)+(AL86-AK86)</f>
        <v/>
      </c>
      <c r="AM105" s="43">
        <f>(AM83-AL83)+(AM86-AL86)</f>
        <v/>
      </c>
      <c r="AN105" s="43">
        <f>(AN83-AM83)+(AN86-AM86)</f>
        <v/>
      </c>
      <c r="AO105" s="43">
        <f>(AO83-AN83)+(AO86-AN86)</f>
        <v/>
      </c>
      <c r="AP105" s="43">
        <f>(AP83-AO83)+(AP86-AO86)</f>
        <v/>
      </c>
      <c r="AQ105" s="43">
        <f>(AQ83-AP83)+(AQ86-AP86)</f>
        <v/>
      </c>
      <c r="AR105" s="43">
        <f>(AR83-AQ83)+(AR86-AQ86)</f>
        <v/>
      </c>
      <c r="AS105" s="43">
        <f>(AS83-AR83)+(AS86-AR86)</f>
        <v/>
      </c>
      <c r="AT105" s="43">
        <f>(AT83-AS83)+(AT86-AS86)</f>
        <v/>
      </c>
      <c r="AU105" s="43">
        <f>(AU83-AT83)+(AU86-AT86)</f>
        <v/>
      </c>
      <c r="AV105" s="43">
        <f>(AV83-AU83)+(AV86-AU86)</f>
        <v/>
      </c>
      <c r="AW105" s="43">
        <f>(AW83-AV83)+(AW86-AV86)</f>
        <v/>
      </c>
      <c r="AX105" s="43">
        <f>(AX83-AW83)+(AX86-AW86)</f>
        <v/>
      </c>
      <c r="AY105" s="43">
        <f>(AY83-AX83)+(AY86-AX86)</f>
        <v/>
      </c>
      <c r="AZ105" s="43">
        <f>(AZ83-AY83)+(AZ86-AY86)</f>
        <v/>
      </c>
      <c r="BA105" s="43">
        <f>(BA83-AZ83)+(BA86-AZ86)</f>
        <v/>
      </c>
      <c r="BB105" s="43">
        <f>(BB83-BA83)+(BB86-BA86)</f>
        <v/>
      </c>
      <c r="BC105" s="43">
        <f>(BC83-BB83)+(BC86-BB86)</f>
        <v/>
      </c>
      <c r="BD105" s="43">
        <f>(BD83-BC83)+(BD86-BC86)</f>
        <v/>
      </c>
      <c r="BE105" s="43">
        <f>(BE83-BD83)+(BE86-BD86)</f>
        <v/>
      </c>
      <c r="BF105" s="43">
        <f>(BF83-BE83)+(BF86-BE86)</f>
        <v/>
      </c>
      <c r="BG105" s="43">
        <f>(BG83-BF83)+(BG86-BF86)</f>
        <v/>
      </c>
      <c r="BH105" s="38">
        <f>(BH83-BG83)+(BH86-BG86)</f>
        <v/>
      </c>
      <c r="BI105" s="38">
        <f>(BI83-BH83)+(BI86-BH86)</f>
        <v/>
      </c>
      <c r="BJ105" s="38">
        <f>(BJ83-BI83)+(BJ86-BI86)</f>
        <v/>
      </c>
      <c r="BK105" s="38">
        <f>(BK83-BJ83)+(BK86-BJ86)</f>
        <v/>
      </c>
      <c r="BL105" s="38">
        <f>(BL83-BK83)+(BL86-BK86)</f>
        <v/>
      </c>
      <c r="BM105" s="38">
        <f>(BM83-BL83)+(BM86-BL86)</f>
        <v/>
      </c>
      <c r="BN105" s="38">
        <f>(BN83-BM83)+(BN86-BM86)</f>
        <v/>
      </c>
      <c r="BO105" s="38">
        <f>(BO83-BN83)+(BO86-BN86)</f>
        <v/>
      </c>
      <c r="BP105" s="38">
        <f>(BP83-BO83)+(BP86-BO86)</f>
        <v/>
      </c>
      <c r="BQ105" s="38">
        <f>(BQ83-BP83)+(BQ86-BP86)</f>
        <v/>
      </c>
      <c r="BR105" s="31" t="inlineStr">
        <is>
          <t>+ΔOCL+ΔONCL。</t>
        </is>
      </c>
    </row>
    <row r="106">
      <c r="A106" s="4" t="inlineStr">
        <is>
          <t>CF</t>
        </is>
      </c>
      <c r="B106" s="5" t="inlineStr">
        <is>
          <t>Cash from operations (CFO)</t>
        </is>
      </c>
      <c r="C106" s="4" t="inlineStr">
        <is>
          <t>$000</t>
        </is>
      </c>
      <c r="D106" s="52" t="n">
        <v>12504</v>
      </c>
      <c r="E106" s="52" t="n">
        <v>8615</v>
      </c>
      <c r="F106" s="52" t="n">
        <v>3218</v>
      </c>
      <c r="G106" s="52" t="n">
        <v>12658</v>
      </c>
      <c r="H106" s="52" t="n">
        <v>5865</v>
      </c>
      <c r="I106" s="52" t="n">
        <v>-3305</v>
      </c>
      <c r="J106" s="52" t="n">
        <v>-8765</v>
      </c>
      <c r="K106" s="52" t="n">
        <v>3403</v>
      </c>
      <c r="L106" s="52" t="n">
        <v>-12112</v>
      </c>
      <c r="M106" s="52" t="n">
        <v>-12783</v>
      </c>
      <c r="N106" s="45">
        <f>BF106+BG106+BH106+BI106</f>
        <v/>
      </c>
      <c r="O106" s="45">
        <f>BJ106+BK106+BL106+BM106</f>
        <v/>
      </c>
      <c r="P106" s="45">
        <f>BN106+BO106+BP106+BQ106</f>
        <v/>
      </c>
      <c r="R106" s="45">
        <f>R97+R98+R99+R100+R101+R102+R103+R104+R105</f>
        <v/>
      </c>
      <c r="S106" s="45">
        <f>S97+S98+S99+S100+S101+S102+S103+S104+S105</f>
        <v/>
      </c>
      <c r="T106" s="45">
        <f>T97+T98+T99+T100+T101+T102+T103+T104+T105</f>
        <v/>
      </c>
      <c r="U106" s="45">
        <f>U97+U98+U99+U100+U101+U102+U103+U104+U105</f>
        <v/>
      </c>
      <c r="V106" s="45">
        <f>V97+V98+V99+V100+V101+V102+V103+V104+V105</f>
        <v/>
      </c>
      <c r="W106" s="45">
        <f>W97+W98+W99+W100+W101+W102+W103+W104+W105</f>
        <v/>
      </c>
      <c r="X106" s="45">
        <f>X97+X98+X99+X100+X101+X102+X103+X104+X105</f>
        <v/>
      </c>
      <c r="Y106" s="45">
        <f>Y97+Y98+Y99+Y100+Y101+Y102+Y103+Y104+Y105</f>
        <v/>
      </c>
      <c r="Z106" s="45">
        <f>Z97+Z98+Z99+Z100+Z101+Z102+Z103+Z104+Z105</f>
        <v/>
      </c>
      <c r="AA106" s="45">
        <f>AA97+AA98+AA99+AA100+AA101+AA102+AA103+AA104+AA105</f>
        <v/>
      </c>
      <c r="AB106" s="45">
        <f>AB97+AB98+AB99+AB100+AB101+AB102+AB103+AB104+AB105</f>
        <v/>
      </c>
      <c r="AC106" s="45">
        <f>AC97+AC98+AC99+AC100+AC101+AC102+AC103+AC104+AC105</f>
        <v/>
      </c>
      <c r="AD106" s="45">
        <f>AD97+AD98+AD99+AD100+AD101+AD102+AD103+AD104+AD105</f>
        <v/>
      </c>
      <c r="AE106" s="45">
        <f>AE97+AE98+AE99+AE100+AE101+AE102+AE103+AE104+AE105</f>
        <v/>
      </c>
      <c r="AF106" s="45">
        <f>AF97+AF98+AF99+AF100+AF101+AF102+AF103+AF104+AF105</f>
        <v/>
      </c>
      <c r="AG106" s="45">
        <f>AG97+AG98+AG99+AG100+AG101+AG102+AG103+AG104+AG105</f>
        <v/>
      </c>
      <c r="AH106" s="45">
        <f>AH97+AH98+AH99+AH100+AH101+AH102+AH103+AH104+AH105</f>
        <v/>
      </c>
      <c r="AI106" s="45">
        <f>AI97+AI98+AI99+AI100+AI101+AI102+AI103+AI104+AI105</f>
        <v/>
      </c>
      <c r="AJ106" s="45">
        <f>AJ97+AJ98+AJ99+AJ100+AJ101+AJ102+AJ103+AJ104+AJ105</f>
        <v/>
      </c>
      <c r="AK106" s="45">
        <f>AK97+AK98+AK99+AK100+AK101+AK102+AK103+AK104+AK105</f>
        <v/>
      </c>
      <c r="AL106" s="45">
        <f>AL97+AL98+AL99+AL100+AL101+AL102+AL103+AL104+AL105</f>
        <v/>
      </c>
      <c r="AM106" s="45">
        <f>AM97+AM98+AM99+AM100+AM101+AM102+AM103+AM104+AM105</f>
        <v/>
      </c>
      <c r="AN106" s="45">
        <f>AN97+AN98+AN99+AN100+AN101+AN102+AN103+AN104+AN105</f>
        <v/>
      </c>
      <c r="AO106" s="45">
        <f>AO97+AO98+AO99+AO100+AO101+AO102+AO103+AO104+AO105</f>
        <v/>
      </c>
      <c r="AP106" s="45">
        <f>AP97+AP98+AP99+AP100+AP101+AP102+AP103+AP104+AP105</f>
        <v/>
      </c>
      <c r="AQ106" s="45">
        <f>AQ97+AQ98+AQ99+AQ100+AQ101+AQ102+AQ103+AQ104+AQ105</f>
        <v/>
      </c>
      <c r="AR106" s="45">
        <f>AR97+AR98+AR99+AR100+AR101+AR102+AR103+AR104+AR105</f>
        <v/>
      </c>
      <c r="AS106" s="45">
        <f>AS97+AS98+AS99+AS100+AS101+AS102+AS103+AS104+AS105</f>
        <v/>
      </c>
      <c r="AT106" s="45">
        <f>AT97+AT98+AT99+AT100+AT101+AT102+AT103+AT104+AT105</f>
        <v/>
      </c>
      <c r="AU106" s="45">
        <f>AU97+AU98+AU99+AU100+AU101+AU102+AU103+AU104+AU105</f>
        <v/>
      </c>
      <c r="AV106" s="45">
        <f>AV97+AV98+AV99+AV100+AV101+AV102+AV103+AV104+AV105</f>
        <v/>
      </c>
      <c r="AW106" s="45">
        <f>AW97+AW98+AW99+AW100+AW101+AW102+AW103+AW104+AW105</f>
        <v/>
      </c>
      <c r="AX106" s="45">
        <f>AX97+AX98+AX99+AX100+AX101+AX102+AX103+AX104+AX105</f>
        <v/>
      </c>
      <c r="AY106" s="45">
        <f>AY97+AY98+AY99+AY100+AY101+AY102+AY103+AY104+AY105</f>
        <v/>
      </c>
      <c r="AZ106" s="45">
        <f>AZ97+AZ98+AZ99+AZ100+AZ101+AZ102+AZ103+AZ104+AZ105</f>
        <v/>
      </c>
      <c r="BA106" s="45">
        <f>BA97+BA98+BA99+BA100+BA101+BA102+BA103+BA104+BA105</f>
        <v/>
      </c>
      <c r="BB106" s="45">
        <f>BB97+BB98+BB99+BB100+BB101+BB102+BB103+BB104+BB105</f>
        <v/>
      </c>
      <c r="BC106" s="45">
        <f>BC97+BC98+BC99+BC100+BC101+BC102+BC103+BC104+BC105</f>
        <v/>
      </c>
      <c r="BD106" s="45">
        <f>BD97+BD98+BD99+BD100+BD101+BD102+BD103+BD104+BD105</f>
        <v/>
      </c>
      <c r="BE106" s="45">
        <f>BE97+BE98+BE99+BE100+BE101+BE102+BE103+BE104+BE105</f>
        <v/>
      </c>
      <c r="BF106" s="45">
        <f>BF97+BF98+BF99+BF100+BF101+BF102+BF103+BF104+BF105</f>
        <v/>
      </c>
      <c r="BG106" s="45">
        <f>BG97+BG98+BG99+BG100+BG101+BG102+BG103+BG104+BG105</f>
        <v/>
      </c>
      <c r="BH106" s="45">
        <f>BH97+BH98+BH99+BH100+BH101+BH102+BH103+BH104+BH105</f>
        <v/>
      </c>
      <c r="BI106" s="45">
        <f>BI97+BI98+BI99+BI100+BI101+BI102+BI103+BI104+BI105</f>
        <v/>
      </c>
      <c r="BJ106" s="45">
        <f>BJ97+BJ98+BJ99+BJ100+BJ101+BJ102+BJ103+BJ104+BJ105</f>
        <v/>
      </c>
      <c r="BK106" s="45">
        <f>BK97+BK98+BK99+BK100+BK101+BK102+BK103+BK104+BK105</f>
        <v/>
      </c>
      <c r="BL106" s="45">
        <f>BL97+BL98+BL99+BL100+BL101+BL102+BL103+BL104+BL105</f>
        <v/>
      </c>
      <c r="BM106" s="45">
        <f>BM97+BM98+BM99+BM100+BM101+BM102+BM103+BM104+BM105</f>
        <v/>
      </c>
      <c r="BN106" s="45">
        <f>BN97+BN98+BN99+BN100+BN101+BN102+BN103+BN104+BN105</f>
        <v/>
      </c>
      <c r="BO106" s="45">
        <f>BO97+BO98+BO99+BO100+BO101+BO102+BO103+BO104+BO105</f>
        <v/>
      </c>
      <c r="BP106" s="45">
        <f>BP97+BP98+BP99+BP100+BP101+BP102+BP103+BP104+BP105</f>
        <v/>
      </c>
      <c r="BQ106" s="45">
        <f>BQ97+BQ98+BQ99+BQ100+BQ101+BQ102+BQ103+BQ104+BQ105</f>
        <v/>
      </c>
      <c r="BR106" s="31" t="inlineStr">
        <is>
          <t>经营活动现金流。</t>
        </is>
      </c>
    </row>
    <row r="107">
      <c r="A107" s="4" t="inlineStr">
        <is>
          <t>CF</t>
        </is>
      </c>
      <c r="B107" s="7" t="inlineStr">
        <is>
          <t>Capital expenditures</t>
        </is>
      </c>
      <c r="C107" s="4" t="inlineStr">
        <is>
          <t>$000</t>
        </is>
      </c>
      <c r="D107" s="36" t="n">
        <v>-2728</v>
      </c>
      <c r="E107" s="36" t="n">
        <v>-21356</v>
      </c>
      <c r="F107" s="36" t="n">
        <v>-40539</v>
      </c>
      <c r="G107" s="36" t="n">
        <v>-21792</v>
      </c>
      <c r="H107" s="36" t="n">
        <v>-19855</v>
      </c>
      <c r="I107" s="36" t="n">
        <v>-29645</v>
      </c>
      <c r="J107" s="36" t="n">
        <v>-28465</v>
      </c>
      <c r="K107" s="36" t="n">
        <v>-10475</v>
      </c>
      <c r="L107" s="36" t="n">
        <v>-5771</v>
      </c>
      <c r="M107" s="36" t="n">
        <v>-5995</v>
      </c>
      <c r="N107" s="37">
        <f>BF107+BG107+BH107+BI107</f>
        <v/>
      </c>
      <c r="O107" s="38">
        <f>BJ107+BK107+BL107+BM107</f>
        <v/>
      </c>
      <c r="P107" s="38">
        <f>BN107+BO107+BP107+BQ107</f>
        <v/>
      </c>
      <c r="R107" s="43">
        <f>-R44</f>
        <v/>
      </c>
      <c r="S107" s="43">
        <f>-S44</f>
        <v/>
      </c>
      <c r="T107" s="43">
        <f>-T44</f>
        <v/>
      </c>
      <c r="U107" s="43">
        <f>-U44</f>
        <v/>
      </c>
      <c r="V107" s="43">
        <f>-V44</f>
        <v/>
      </c>
      <c r="W107" s="43">
        <f>-W44</f>
        <v/>
      </c>
      <c r="X107" s="43">
        <f>-X44</f>
        <v/>
      </c>
      <c r="Y107" s="43">
        <f>-Y44</f>
        <v/>
      </c>
      <c r="Z107" s="43">
        <f>-Z44</f>
        <v/>
      </c>
      <c r="AA107" s="43">
        <f>-AA44</f>
        <v/>
      </c>
      <c r="AB107" s="43">
        <f>-AB44</f>
        <v/>
      </c>
      <c r="AC107" s="43">
        <f>-AC44</f>
        <v/>
      </c>
      <c r="AD107" s="43">
        <f>-AD44</f>
        <v/>
      </c>
      <c r="AE107" s="43">
        <f>-AE44</f>
        <v/>
      </c>
      <c r="AF107" s="43">
        <f>-AF44</f>
        <v/>
      </c>
      <c r="AG107" s="43">
        <f>-AG44</f>
        <v/>
      </c>
      <c r="AH107" s="43">
        <f>-AH44</f>
        <v/>
      </c>
      <c r="AI107" s="43">
        <f>-AI44</f>
        <v/>
      </c>
      <c r="AJ107" s="43">
        <f>-AJ44</f>
        <v/>
      </c>
      <c r="AK107" s="43">
        <f>-AK44</f>
        <v/>
      </c>
      <c r="AL107" s="43">
        <f>-AL44</f>
        <v/>
      </c>
      <c r="AM107" s="43">
        <f>-AM44</f>
        <v/>
      </c>
      <c r="AN107" s="43">
        <f>-AN44</f>
        <v/>
      </c>
      <c r="AO107" s="43">
        <f>-AO44</f>
        <v/>
      </c>
      <c r="AP107" s="43">
        <f>-AP44</f>
        <v/>
      </c>
      <c r="AQ107" s="43">
        <f>-AQ44</f>
        <v/>
      </c>
      <c r="AR107" s="43">
        <f>-AR44</f>
        <v/>
      </c>
      <c r="AS107" s="43">
        <f>-AS44</f>
        <v/>
      </c>
      <c r="AT107" s="43">
        <f>-AT44</f>
        <v/>
      </c>
      <c r="AU107" s="43">
        <f>-AU44</f>
        <v/>
      </c>
      <c r="AV107" s="43">
        <f>-AV44</f>
        <v/>
      </c>
      <c r="AW107" s="43">
        <f>-AW44</f>
        <v/>
      </c>
      <c r="AX107" s="43">
        <f>-AX44</f>
        <v/>
      </c>
      <c r="AY107" s="43">
        <f>-AY44</f>
        <v/>
      </c>
      <c r="AZ107" s="43">
        <f>-AZ44</f>
        <v/>
      </c>
      <c r="BA107" s="43">
        <f>-BA44</f>
        <v/>
      </c>
      <c r="BB107" s="43">
        <f>-BB44</f>
        <v/>
      </c>
      <c r="BC107" s="43">
        <f>-BC44</f>
        <v/>
      </c>
      <c r="BD107" s="43">
        <f>-BD44</f>
        <v/>
      </c>
      <c r="BE107" s="43">
        <f>-BE44</f>
        <v/>
      </c>
      <c r="BF107" s="43">
        <f>-BF44</f>
        <v/>
      </c>
      <c r="BG107" s="43">
        <f>-BG44</f>
        <v/>
      </c>
      <c r="BH107" s="38">
        <f>-BH44</f>
        <v/>
      </c>
      <c r="BI107" s="38">
        <f>-BI44</f>
        <v/>
      </c>
      <c r="BJ107" s="38">
        <f>-BJ44</f>
        <v/>
      </c>
      <c r="BK107" s="38">
        <f>-BK44</f>
        <v/>
      </c>
      <c r="BL107" s="38">
        <f>-BL44</f>
        <v/>
      </c>
      <c r="BM107" s="38">
        <f>-BM44</f>
        <v/>
      </c>
      <c r="BN107" s="38">
        <f>-BN44</f>
        <v/>
      </c>
      <c r="BO107" s="38">
        <f>-BO44</f>
        <v/>
      </c>
      <c r="BP107" s="38">
        <f>-BP44</f>
        <v/>
      </c>
      <c r="BQ107" s="38">
        <f>-BQ44</f>
        <v/>
      </c>
      <c r="BR107" s="31" t="inlineStr">
        <is>
          <t>−Capex。</t>
        </is>
      </c>
    </row>
    <row r="108">
      <c r="A108" s="4" t="inlineStr">
        <is>
          <t>CF</t>
        </is>
      </c>
      <c r="B108" s="7" t="inlineStr">
        <is>
          <t>Change in other non-current assets</t>
        </is>
      </c>
      <c r="C108" s="4" t="inlineStr">
        <is>
          <t>$000</t>
        </is>
      </c>
      <c r="D108" s="36" t="n">
        <v>1615</v>
      </c>
      <c r="E108" s="36" t="n">
        <v>-15102</v>
      </c>
      <c r="F108" s="36" t="n">
        <v>9712</v>
      </c>
      <c r="G108" s="36" t="n">
        <v>13464</v>
      </c>
      <c r="H108" s="36" t="n">
        <v>3433</v>
      </c>
      <c r="I108" s="36" t="n">
        <v>-9165</v>
      </c>
      <c r="J108" s="36" t="n">
        <v>3242</v>
      </c>
      <c r="K108" s="36" t="n">
        <v>7871</v>
      </c>
      <c r="L108" s="36" t="n">
        <v>1326</v>
      </c>
      <c r="M108" s="36" t="n">
        <v>-837</v>
      </c>
      <c r="N108" s="37">
        <f>BF108+BG108+BH108+BI108</f>
        <v/>
      </c>
      <c r="O108" s="38">
        <f>BJ108+BK108+BL108+BM108</f>
        <v/>
      </c>
      <c r="P108" s="38">
        <f>BN108+BO108+BP108+BQ108</f>
        <v/>
      </c>
      <c r="R108" s="36" t="n">
        <v>0</v>
      </c>
      <c r="S108" s="43">
        <f>-(S79-R79)</f>
        <v/>
      </c>
      <c r="T108" s="43">
        <f>-(T79-S79)</f>
        <v/>
      </c>
      <c r="U108" s="43">
        <f>-(U79-T79)</f>
        <v/>
      </c>
      <c r="V108" s="43">
        <f>-(V79-U79)</f>
        <v/>
      </c>
      <c r="W108" s="43">
        <f>-(W79-V79)</f>
        <v/>
      </c>
      <c r="X108" s="43">
        <f>-(X79-W79)</f>
        <v/>
      </c>
      <c r="Y108" s="43">
        <f>-(Y79-X79)</f>
        <v/>
      </c>
      <c r="Z108" s="43">
        <f>-(Z79-Y79)</f>
        <v/>
      </c>
      <c r="AA108" s="43">
        <f>-(AA79-Z79)</f>
        <v/>
      </c>
      <c r="AB108" s="43">
        <f>-(AB79-AA79)</f>
        <v/>
      </c>
      <c r="AC108" s="43">
        <f>-(AC79-AB79)</f>
        <v/>
      </c>
      <c r="AD108" s="43">
        <f>-(AD79-AC79)</f>
        <v/>
      </c>
      <c r="AE108" s="43">
        <f>-(AE79-AD79)</f>
        <v/>
      </c>
      <c r="AF108" s="43">
        <f>-(AF79-AE79)</f>
        <v/>
      </c>
      <c r="AG108" s="43">
        <f>-(AG79-AF79)</f>
        <v/>
      </c>
      <c r="AH108" s="43">
        <f>-(AH79-AG79)</f>
        <v/>
      </c>
      <c r="AI108" s="43">
        <f>-(AI79-AH79)</f>
        <v/>
      </c>
      <c r="AJ108" s="43">
        <f>-(AJ79-AI79)</f>
        <v/>
      </c>
      <c r="AK108" s="43">
        <f>-(AK79-AJ79)</f>
        <v/>
      </c>
      <c r="AL108" s="43">
        <f>-(AL79-AK79)</f>
        <v/>
      </c>
      <c r="AM108" s="43">
        <f>-(AM79-AL79)</f>
        <v/>
      </c>
      <c r="AN108" s="43">
        <f>-(AN79-AM79)</f>
        <v/>
      </c>
      <c r="AO108" s="43">
        <f>-(AO79-AN79)</f>
        <v/>
      </c>
      <c r="AP108" s="43">
        <f>-(AP79-AO79)</f>
        <v/>
      </c>
      <c r="AQ108" s="43">
        <f>-(AQ79-AP79)</f>
        <v/>
      </c>
      <c r="AR108" s="43">
        <f>-(AR79-AQ79)</f>
        <v/>
      </c>
      <c r="AS108" s="43">
        <f>-(AS79-AR79)</f>
        <v/>
      </c>
      <c r="AT108" s="43">
        <f>-(AT79-AS79)</f>
        <v/>
      </c>
      <c r="AU108" s="43">
        <f>-(AU79-AT79)</f>
        <v/>
      </c>
      <c r="AV108" s="43">
        <f>-(AV79-AU79)</f>
        <v/>
      </c>
      <c r="AW108" s="43">
        <f>-(AW79-AV79)</f>
        <v/>
      </c>
      <c r="AX108" s="43">
        <f>-(AX79-AW79)</f>
        <v/>
      </c>
      <c r="AY108" s="43">
        <f>-(AY79-AX79)</f>
        <v/>
      </c>
      <c r="AZ108" s="43">
        <f>-(AZ79-AY79)</f>
        <v/>
      </c>
      <c r="BA108" s="43">
        <f>-(BA79-AZ79)</f>
        <v/>
      </c>
      <c r="BB108" s="43">
        <f>-(BB79-BA79)</f>
        <v/>
      </c>
      <c r="BC108" s="43">
        <f>-(BC79-BB79)</f>
        <v/>
      </c>
      <c r="BD108" s="43">
        <f>-(BD79-BC79)</f>
        <v/>
      </c>
      <c r="BE108" s="43">
        <f>-(BE79-BD79)</f>
        <v/>
      </c>
      <c r="BF108" s="43">
        <f>-(BF79-BE79)</f>
        <v/>
      </c>
      <c r="BG108" s="43">
        <f>-(BG79-BF79)</f>
        <v/>
      </c>
      <c r="BH108" s="38">
        <f>-(BH79-BG79)</f>
        <v/>
      </c>
      <c r="BI108" s="38">
        <f>-(BI79-BH79)</f>
        <v/>
      </c>
      <c r="BJ108" s="38">
        <f>-(BJ79-BI79)</f>
        <v/>
      </c>
      <c r="BK108" s="38">
        <f>-(BK79-BJ79)</f>
        <v/>
      </c>
      <c r="BL108" s="38">
        <f>-(BL79-BK79)</f>
        <v/>
      </c>
      <c r="BM108" s="38">
        <f>-(BM79-BL79)</f>
        <v/>
      </c>
      <c r="BN108" s="38">
        <f>-(BN79-BM79)</f>
        <v/>
      </c>
      <c r="BO108" s="38">
        <f>-(BO79-BN79)</f>
        <v/>
      </c>
      <c r="BP108" s="38">
        <f>-(BP79-BO79)</f>
        <v/>
      </c>
      <c r="BQ108" s="38">
        <f>-(BQ79-BP79)</f>
        <v/>
      </c>
      <c r="BR108" s="31" t="inlineStr">
        <is>
          <t>−ΔONCA（含长期投资变动）。历史含买卖证券。</t>
        </is>
      </c>
    </row>
    <row r="109">
      <c r="A109" s="4" t="inlineStr">
        <is>
          <t>CF</t>
        </is>
      </c>
      <c r="B109" s="5" t="inlineStr">
        <is>
          <t>Cash from investing (CFI)</t>
        </is>
      </c>
      <c r="C109" s="4" t="inlineStr">
        <is>
          <t>$000</t>
        </is>
      </c>
      <c r="D109" s="45">
        <f>D107+D108</f>
        <v/>
      </c>
      <c r="E109" s="45">
        <f>E107+E108</f>
        <v/>
      </c>
      <c r="F109" s="45">
        <f>F107+F108</f>
        <v/>
      </c>
      <c r="G109" s="45">
        <f>G107+G108</f>
        <v/>
      </c>
      <c r="H109" s="45">
        <f>H107+H108</f>
        <v/>
      </c>
      <c r="I109" s="45">
        <f>I107+I108</f>
        <v/>
      </c>
      <c r="J109" s="45">
        <f>J107+J108</f>
        <v/>
      </c>
      <c r="K109" s="45">
        <f>K107+K108</f>
        <v/>
      </c>
      <c r="L109" s="45">
        <f>L107+L108</f>
        <v/>
      </c>
      <c r="M109" s="45">
        <f>M107+M108</f>
        <v/>
      </c>
      <c r="N109" s="45">
        <f>BF109+BG109+BH109+BI109</f>
        <v/>
      </c>
      <c r="O109" s="45">
        <f>BJ109+BK109+BL109+BM109</f>
        <v/>
      </c>
      <c r="P109" s="45">
        <f>BN109+BO109+BP109+BQ109</f>
        <v/>
      </c>
      <c r="R109" s="45">
        <f>R107+R108</f>
        <v/>
      </c>
      <c r="S109" s="45">
        <f>S107+S108</f>
        <v/>
      </c>
      <c r="T109" s="45">
        <f>T107+T108</f>
        <v/>
      </c>
      <c r="U109" s="45">
        <f>U107+U108</f>
        <v/>
      </c>
      <c r="V109" s="45">
        <f>V107+V108</f>
        <v/>
      </c>
      <c r="W109" s="45">
        <f>W107+W108</f>
        <v/>
      </c>
      <c r="X109" s="45">
        <f>X107+X108</f>
        <v/>
      </c>
      <c r="Y109" s="45">
        <f>Y107+Y108</f>
        <v/>
      </c>
      <c r="Z109" s="45">
        <f>Z107+Z108</f>
        <v/>
      </c>
      <c r="AA109" s="45">
        <f>AA107+AA108</f>
        <v/>
      </c>
      <c r="AB109" s="45">
        <f>AB107+AB108</f>
        <v/>
      </c>
      <c r="AC109" s="45">
        <f>AC107+AC108</f>
        <v/>
      </c>
      <c r="AD109" s="45">
        <f>AD107+AD108</f>
        <v/>
      </c>
      <c r="AE109" s="45">
        <f>AE107+AE108</f>
        <v/>
      </c>
      <c r="AF109" s="45">
        <f>AF107+AF108</f>
        <v/>
      </c>
      <c r="AG109" s="45">
        <f>AG107+AG108</f>
        <v/>
      </c>
      <c r="AH109" s="45">
        <f>AH107+AH108</f>
        <v/>
      </c>
      <c r="AI109" s="45">
        <f>AI107+AI108</f>
        <v/>
      </c>
      <c r="AJ109" s="45">
        <f>AJ107+AJ108</f>
        <v/>
      </c>
      <c r="AK109" s="45">
        <f>AK107+AK108</f>
        <v/>
      </c>
      <c r="AL109" s="45">
        <f>AL107+AL108</f>
        <v/>
      </c>
      <c r="AM109" s="45">
        <f>AM107+AM108</f>
        <v/>
      </c>
      <c r="AN109" s="45">
        <f>AN107+AN108</f>
        <v/>
      </c>
      <c r="AO109" s="45">
        <f>AO107+AO108</f>
        <v/>
      </c>
      <c r="AP109" s="45">
        <f>AP107+AP108</f>
        <v/>
      </c>
      <c r="AQ109" s="45">
        <f>AQ107+AQ108</f>
        <v/>
      </c>
      <c r="AR109" s="45">
        <f>AR107+AR108</f>
        <v/>
      </c>
      <c r="AS109" s="45">
        <f>AS107+AS108</f>
        <v/>
      </c>
      <c r="AT109" s="45">
        <f>AT107+AT108</f>
        <v/>
      </c>
      <c r="AU109" s="45">
        <f>AU107+AU108</f>
        <v/>
      </c>
      <c r="AV109" s="45">
        <f>AV107+AV108</f>
        <v/>
      </c>
      <c r="AW109" s="45">
        <f>AW107+AW108</f>
        <v/>
      </c>
      <c r="AX109" s="45">
        <f>AX107+AX108</f>
        <v/>
      </c>
      <c r="AY109" s="45">
        <f>AY107+AY108</f>
        <v/>
      </c>
      <c r="AZ109" s="45">
        <f>AZ107+AZ108</f>
        <v/>
      </c>
      <c r="BA109" s="45">
        <f>BA107+BA108</f>
        <v/>
      </c>
      <c r="BB109" s="45">
        <f>BB107+BB108</f>
        <v/>
      </c>
      <c r="BC109" s="45">
        <f>BC107+BC108</f>
        <v/>
      </c>
      <c r="BD109" s="45">
        <f>BD107+BD108</f>
        <v/>
      </c>
      <c r="BE109" s="45">
        <f>BE107+BE108</f>
        <v/>
      </c>
      <c r="BF109" s="45">
        <f>BF107+BF108</f>
        <v/>
      </c>
      <c r="BG109" s="45">
        <f>BG107+BG108</f>
        <v/>
      </c>
      <c r="BH109" s="45">
        <f>BH107+BH108</f>
        <v/>
      </c>
      <c r="BI109" s="45">
        <f>BI107+BI108</f>
        <v/>
      </c>
      <c r="BJ109" s="45">
        <f>BJ107+BJ108</f>
        <v/>
      </c>
      <c r="BK109" s="45">
        <f>BK107+BK108</f>
        <v/>
      </c>
      <c r="BL109" s="45">
        <f>BL107+BL108</f>
        <v/>
      </c>
      <c r="BM109" s="45">
        <f>BM107+BM108</f>
        <v/>
      </c>
      <c r="BN109" s="45">
        <f>BN107+BN108</f>
        <v/>
      </c>
      <c r="BO109" s="45">
        <f>BO107+BO108</f>
        <v/>
      </c>
      <c r="BP109" s="45">
        <f>BP107+BP108</f>
        <v/>
      </c>
      <c r="BQ109" s="45">
        <f>BQ107+BQ108</f>
        <v/>
      </c>
      <c r="BR109" s="31" t="inlineStr">
        <is>
          <t>投资活动现金流。</t>
        </is>
      </c>
    </row>
    <row r="110">
      <c r="A110" s="4" t="inlineStr">
        <is>
          <t>CF</t>
        </is>
      </c>
      <c r="B110" s="7" t="inlineStr">
        <is>
          <t>Net debt issuance / (repayment)</t>
        </is>
      </c>
      <c r="C110" s="4" t="inlineStr">
        <is>
          <t>$000</t>
        </is>
      </c>
      <c r="D110" s="36" t="n">
        <v>0</v>
      </c>
      <c r="E110" s="36" t="n">
        <v>0</v>
      </c>
      <c r="F110" s="36" t="n">
        <v>0</v>
      </c>
      <c r="G110" s="36" t="n">
        <v>0</v>
      </c>
      <c r="H110" s="36" t="n">
        <v>0</v>
      </c>
      <c r="I110" s="36" t="n">
        <v>0</v>
      </c>
      <c r="J110" s="36" t="n">
        <v>0</v>
      </c>
      <c r="K110" s="36" t="n">
        <v>0</v>
      </c>
      <c r="L110" s="36" t="n">
        <v>0</v>
      </c>
      <c r="M110" s="36" t="n">
        <v>0</v>
      </c>
      <c r="N110" s="37">
        <f>BF110+BG110+BH110+BI110</f>
        <v/>
      </c>
      <c r="O110" s="38">
        <f>BJ110+BK110+BL110+BM110</f>
        <v/>
      </c>
      <c r="P110" s="38">
        <f>BN110+BO110+BP110+BQ110</f>
        <v/>
      </c>
      <c r="R110" s="36" t="n">
        <v>0</v>
      </c>
      <c r="S110" s="43">
        <f>(S82-R82)+(S85-R85)</f>
        <v/>
      </c>
      <c r="T110" s="43">
        <f>(T82-S82)+(T85-S85)</f>
        <v/>
      </c>
      <c r="U110" s="43">
        <f>(U82-T82)+(U85-T85)</f>
        <v/>
      </c>
      <c r="V110" s="43">
        <f>(V82-U82)+(V85-U85)</f>
        <v/>
      </c>
      <c r="W110" s="43">
        <f>(W82-V82)+(W85-V85)</f>
        <v/>
      </c>
      <c r="X110" s="43">
        <f>(X82-W82)+(X85-W85)</f>
        <v/>
      </c>
      <c r="Y110" s="43">
        <f>(Y82-X82)+(Y85-X85)</f>
        <v/>
      </c>
      <c r="Z110" s="43">
        <f>(Z82-Y82)+(Z85-Y85)</f>
        <v/>
      </c>
      <c r="AA110" s="43">
        <f>(AA82-Z82)+(AA85-Z85)</f>
        <v/>
      </c>
      <c r="AB110" s="43">
        <f>(AB82-AA82)+(AB85-AA85)</f>
        <v/>
      </c>
      <c r="AC110" s="43">
        <f>(AC82-AB82)+(AC85-AB85)</f>
        <v/>
      </c>
      <c r="AD110" s="43">
        <f>(AD82-AC82)+(AD85-AC85)</f>
        <v/>
      </c>
      <c r="AE110" s="43">
        <f>(AE82-AD82)+(AE85-AD85)</f>
        <v/>
      </c>
      <c r="AF110" s="43">
        <f>(AF82-AE82)+(AF85-AE85)</f>
        <v/>
      </c>
      <c r="AG110" s="43">
        <f>(AG82-AF82)+(AG85-AF85)</f>
        <v/>
      </c>
      <c r="AH110" s="43">
        <f>(AH82-AG82)+(AH85-AG85)</f>
        <v/>
      </c>
      <c r="AI110" s="43">
        <f>(AI82-AH82)+(AI85-AH85)</f>
        <v/>
      </c>
      <c r="AJ110" s="43">
        <f>(AJ82-AI82)+(AJ85-AI85)</f>
        <v/>
      </c>
      <c r="AK110" s="43">
        <f>(AK82-AJ82)+(AK85-AJ85)</f>
        <v/>
      </c>
      <c r="AL110" s="43">
        <f>(AL82-AK82)+(AL85-AK85)</f>
        <v/>
      </c>
      <c r="AM110" s="43">
        <f>(AM82-AL82)+(AM85-AL85)</f>
        <v/>
      </c>
      <c r="AN110" s="43">
        <f>(AN82-AM82)+(AN85-AM85)</f>
        <v/>
      </c>
      <c r="AO110" s="43">
        <f>(AO82-AN82)+(AO85-AN85)</f>
        <v/>
      </c>
      <c r="AP110" s="43">
        <f>(AP82-AO82)+(AP85-AO85)</f>
        <v/>
      </c>
      <c r="AQ110" s="43">
        <f>(AQ82-AP82)+(AQ85-AP85)</f>
        <v/>
      </c>
      <c r="AR110" s="43">
        <f>(AR82-AQ82)+(AR85-AQ85)</f>
        <v/>
      </c>
      <c r="AS110" s="43">
        <f>(AS82-AR82)+(AS85-AR85)</f>
        <v/>
      </c>
      <c r="AT110" s="43">
        <f>(AT82-AS82)+(AT85-AS85)</f>
        <v/>
      </c>
      <c r="AU110" s="43">
        <f>(AU82-AT82)+(AU85-AT85)</f>
        <v/>
      </c>
      <c r="AV110" s="43">
        <f>(AV82-AU82)+(AV85-AU85)</f>
        <v/>
      </c>
      <c r="AW110" s="43">
        <f>(AW82-AV82)+(AW85-AV85)</f>
        <v/>
      </c>
      <c r="AX110" s="43">
        <f>(AX82-AW82)+(AX85-AW85)</f>
        <v/>
      </c>
      <c r="AY110" s="43">
        <f>(AY82-AX82)+(AY85-AX85)</f>
        <v/>
      </c>
      <c r="AZ110" s="43">
        <f>(AZ82-AY82)+(AZ85-AY85)</f>
        <v/>
      </c>
      <c r="BA110" s="43">
        <f>(BA82-AZ82)+(BA85-AZ85)</f>
        <v/>
      </c>
      <c r="BB110" s="43">
        <f>(BB82-BA82)+(BB85-BA85)</f>
        <v/>
      </c>
      <c r="BC110" s="43">
        <f>(BC82-BB82)+(BC85-BB85)</f>
        <v/>
      </c>
      <c r="BD110" s="43">
        <f>(BD82-BC82)+(BD85-BC85)</f>
        <v/>
      </c>
      <c r="BE110" s="43">
        <f>(BE82-BD82)+(BE85-BD85)</f>
        <v/>
      </c>
      <c r="BF110" s="43">
        <f>(BF82-BE82)+(BF85-BE85)</f>
        <v/>
      </c>
      <c r="BG110" s="43">
        <f>(BG82-BF82)+(BG85-BF85)</f>
        <v/>
      </c>
      <c r="BH110" s="38">
        <f>(BH82-BG82)+(BH85-BG85)</f>
        <v/>
      </c>
      <c r="BI110" s="38">
        <f>(BI82-BH82)+(BI85-BH85)</f>
        <v/>
      </c>
      <c r="BJ110" s="38">
        <f>(BJ82-BI82)+(BJ85-BI85)</f>
        <v/>
      </c>
      <c r="BK110" s="38">
        <f>(BK82-BJ82)+(BK85-BJ85)</f>
        <v/>
      </c>
      <c r="BL110" s="38">
        <f>(BL82-BK82)+(BL85-BK85)</f>
        <v/>
      </c>
      <c r="BM110" s="38">
        <f>(BM82-BL82)+(BM85-BL85)</f>
        <v/>
      </c>
      <c r="BN110" s="38">
        <f>(BN82-BM82)+(BN85-BM85)</f>
        <v/>
      </c>
      <c r="BO110" s="38">
        <f>(BO82-BN82)+(BO85-BN85)</f>
        <v/>
      </c>
      <c r="BP110" s="38">
        <f>(BP82-BO82)+(BP85-BO85)</f>
        <v/>
      </c>
      <c r="BQ110" s="38">
        <f>(BQ82-BP82)+(BQ85-BP85)</f>
        <v/>
      </c>
      <c r="BR110" s="31" t="inlineStr">
        <is>
          <t>ΔST债务+ΔLT债务。</t>
        </is>
      </c>
    </row>
    <row r="111">
      <c r="A111" s="4" t="inlineStr">
        <is>
          <t>CF</t>
        </is>
      </c>
      <c r="B111" s="7" t="inlineStr">
        <is>
          <t>Equity issuance (net of costs)</t>
        </is>
      </c>
      <c r="C111" s="4" t="inlineStr">
        <is>
          <t>$000</t>
        </is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0</v>
      </c>
      <c r="K111" s="36" t="n">
        <v>0</v>
      </c>
      <c r="L111" s="36" t="n">
        <v>0</v>
      </c>
      <c r="M111" s="36" t="n">
        <v>0</v>
      </c>
      <c r="N111" s="37">
        <f>BF111+BG111+BH111+BI111</f>
        <v/>
      </c>
      <c r="O111" s="38">
        <f>BJ111+BK111+BL111+BM111</f>
        <v/>
      </c>
      <c r="P111" s="38">
        <f>BN111+BO111+BP111+BQ111</f>
        <v/>
      </c>
      <c r="R111" s="36" t="n">
        <v>0</v>
      </c>
      <c r="S111" s="43">
        <f>S89-R89-S99</f>
        <v/>
      </c>
      <c r="T111" s="43">
        <f>T89-S89-T99</f>
        <v/>
      </c>
      <c r="U111" s="43">
        <f>U89-T89-U99</f>
        <v/>
      </c>
      <c r="V111" s="43">
        <f>V89-U89-V99</f>
        <v/>
      </c>
      <c r="W111" s="43">
        <f>W89-V89-W99</f>
        <v/>
      </c>
      <c r="X111" s="43">
        <f>X89-W89-X99</f>
        <v/>
      </c>
      <c r="Y111" s="43">
        <f>Y89-X89-Y99</f>
        <v/>
      </c>
      <c r="Z111" s="43">
        <f>Z89-Y89-Z99</f>
        <v/>
      </c>
      <c r="AA111" s="43">
        <f>AA89-Z89-AA99</f>
        <v/>
      </c>
      <c r="AB111" s="43">
        <f>AB89-AA89-AB99</f>
        <v/>
      </c>
      <c r="AC111" s="43">
        <f>AC89-AB89-AC99</f>
        <v/>
      </c>
      <c r="AD111" s="43">
        <f>AD89-AC89-AD99</f>
        <v/>
      </c>
      <c r="AE111" s="43">
        <f>AE89-AD89-AE99</f>
        <v/>
      </c>
      <c r="AF111" s="43">
        <f>AF89-AE89-AF99</f>
        <v/>
      </c>
      <c r="AG111" s="43">
        <f>AG89-AF89-AG99</f>
        <v/>
      </c>
      <c r="AH111" s="43">
        <f>AH89-AG89-AH99</f>
        <v/>
      </c>
      <c r="AI111" s="43">
        <f>AI89-AH89-AI99</f>
        <v/>
      </c>
      <c r="AJ111" s="43">
        <f>AJ89-AI89-AJ99</f>
        <v/>
      </c>
      <c r="AK111" s="43">
        <f>AK89-AJ89-AK99</f>
        <v/>
      </c>
      <c r="AL111" s="43">
        <f>AL89-AK89-AL99</f>
        <v/>
      </c>
      <c r="AM111" s="43">
        <f>AM89-AL89-AM99</f>
        <v/>
      </c>
      <c r="AN111" s="43">
        <f>AN89-AM89-AN99</f>
        <v/>
      </c>
      <c r="AO111" s="43">
        <f>AO89-AN89-AO99</f>
        <v/>
      </c>
      <c r="AP111" s="43">
        <f>AP89-AO89-AP99</f>
        <v/>
      </c>
      <c r="AQ111" s="43">
        <f>AQ89-AP89-AQ99</f>
        <v/>
      </c>
      <c r="AR111" s="43">
        <f>AR89-AQ89-AR99</f>
        <v/>
      </c>
      <c r="AS111" s="43">
        <f>AS89-AR89-AS99</f>
        <v/>
      </c>
      <c r="AT111" s="43">
        <f>AT89-AS89-AT99</f>
        <v/>
      </c>
      <c r="AU111" s="43">
        <f>AU89-AT89-AU99</f>
        <v/>
      </c>
      <c r="AV111" s="43">
        <f>AV89-AU89-AV99</f>
        <v/>
      </c>
      <c r="AW111" s="43">
        <f>AW89-AV89-AW99</f>
        <v/>
      </c>
      <c r="AX111" s="43">
        <f>AX89-AW89-AX99</f>
        <v/>
      </c>
      <c r="AY111" s="43">
        <f>AY89-AX89-AY99</f>
        <v/>
      </c>
      <c r="AZ111" s="43">
        <f>AZ89-AY89-AZ99</f>
        <v/>
      </c>
      <c r="BA111" s="43">
        <f>BA89-AZ89-BA99</f>
        <v/>
      </c>
      <c r="BB111" s="43">
        <f>BB89-BA89-BB99</f>
        <v/>
      </c>
      <c r="BC111" s="43">
        <f>BC89-BB89-BC99</f>
        <v/>
      </c>
      <c r="BD111" s="43">
        <f>BD89-BC89-BD99</f>
        <v/>
      </c>
      <c r="BE111" s="43">
        <f>BE89-BD89-BE99</f>
        <v/>
      </c>
      <c r="BF111" s="43">
        <f>BF89-BE89-BF99</f>
        <v/>
      </c>
      <c r="BG111" s="43">
        <f>BG89-BF89-BG99</f>
        <v/>
      </c>
      <c r="BH111" s="38">
        <f>0</f>
        <v/>
      </c>
      <c r="BI111" s="38">
        <f>0</f>
        <v/>
      </c>
      <c r="BJ111" s="38">
        <f>0</f>
        <v/>
      </c>
      <c r="BK111" s="38">
        <f>0</f>
        <v/>
      </c>
      <c r="BL111" s="38">
        <f>0</f>
        <v/>
      </c>
      <c r="BM111" s="38">
        <f>0</f>
        <v/>
      </c>
      <c r="BN111" s="38">
        <f>0</f>
        <v/>
      </c>
      <c r="BO111" s="38">
        <f>0</f>
        <v/>
      </c>
      <c r="BP111" s="38">
        <f>0</f>
        <v/>
      </c>
      <c r="BQ111" s="38">
        <f>0</f>
        <v/>
      </c>
      <c r="BR111" s="31" t="inlineStr">
        <is>
          <t>股权融资。2025约$95m；2026Q2约$600m+（4月公开发行gross $632.5m）。预测为0。</t>
        </is>
      </c>
    </row>
    <row r="112">
      <c r="A112" s="4" t="inlineStr">
        <is>
          <t>CF</t>
        </is>
      </c>
      <c r="B112" s="7" t="inlineStr">
        <is>
          <t>Other financing / preferred dividends / RNCI</t>
        </is>
      </c>
      <c r="C112" s="4" t="inlineStr">
        <is>
          <t>$000</t>
        </is>
      </c>
      <c r="D112" s="36" t="n">
        <v>1298</v>
      </c>
      <c r="E112" s="36" t="n">
        <v>35638</v>
      </c>
      <c r="F112" s="36" t="n">
        <v>213</v>
      </c>
      <c r="G112" s="36" t="n">
        <v>6186</v>
      </c>
      <c r="H112" s="36" t="n">
        <v>52662</v>
      </c>
      <c r="I112" s="36" t="n">
        <v>5725</v>
      </c>
      <c r="J112" s="36" t="n">
        <v>38031</v>
      </c>
      <c r="K112" s="36" t="n">
        <v>8613</v>
      </c>
      <c r="L112" s="36" t="n">
        <v>-536</v>
      </c>
      <c r="M112" s="36" t="n">
        <v>107095</v>
      </c>
      <c r="N112" s="37">
        <f>BF112+BG112+BH112+BI112</f>
        <v/>
      </c>
      <c r="O112" s="38">
        <f>BJ112+BK112+BL112+BM112</f>
        <v/>
      </c>
      <c r="P112" s="38">
        <f>BN112+BO112+BP112+BQ112</f>
        <v/>
      </c>
      <c r="R112" s="36" t="n">
        <v>-44</v>
      </c>
      <c r="S112" s="43">
        <f>S88-R88-S67</f>
        <v/>
      </c>
      <c r="T112" s="43">
        <f>T88-S88-T67</f>
        <v/>
      </c>
      <c r="U112" s="43">
        <f>U88-T88-U67</f>
        <v/>
      </c>
      <c r="V112" s="43">
        <f>V88-U88-V67</f>
        <v/>
      </c>
      <c r="W112" s="43">
        <f>W88-V88-W67</f>
        <v/>
      </c>
      <c r="X112" s="43">
        <f>X88-W88-X67</f>
        <v/>
      </c>
      <c r="Y112" s="43">
        <f>Y88-X88-Y67</f>
        <v/>
      </c>
      <c r="Z112" s="43">
        <f>Z88-Y88-Z67</f>
        <v/>
      </c>
      <c r="AA112" s="43">
        <f>AA88-Z88-AA67</f>
        <v/>
      </c>
      <c r="AB112" s="43">
        <f>AB88-AA88-AB67</f>
        <v/>
      </c>
      <c r="AC112" s="43">
        <f>AC88-AB88-AC67</f>
        <v/>
      </c>
      <c r="AD112" s="43">
        <f>AD88-AC88-AD67</f>
        <v/>
      </c>
      <c r="AE112" s="43">
        <f>AE88-AD88-AE67</f>
        <v/>
      </c>
      <c r="AF112" s="43">
        <f>AF88-AE88-AF67</f>
        <v/>
      </c>
      <c r="AG112" s="43">
        <f>AG88-AF88-AG67</f>
        <v/>
      </c>
      <c r="AH112" s="43">
        <f>AH88-AG88-AH67</f>
        <v/>
      </c>
      <c r="AI112" s="43">
        <f>AI88-AH88-AI67</f>
        <v/>
      </c>
      <c r="AJ112" s="43">
        <f>AJ88-AI88-AJ67</f>
        <v/>
      </c>
      <c r="AK112" s="43">
        <f>AK88-AJ88-AK67</f>
        <v/>
      </c>
      <c r="AL112" s="43">
        <f>AL88-AK88-AL67</f>
        <v/>
      </c>
      <c r="AM112" s="43">
        <f>AM88-AL88-AM67</f>
        <v/>
      </c>
      <c r="AN112" s="43">
        <f>AN88-AM88-AN67</f>
        <v/>
      </c>
      <c r="AO112" s="43">
        <f>AO88-AN88-AO67</f>
        <v/>
      </c>
      <c r="AP112" s="43">
        <f>AP88-AO88-AP67</f>
        <v/>
      </c>
      <c r="AQ112" s="43">
        <f>AQ88-AP88-AQ67</f>
        <v/>
      </c>
      <c r="AR112" s="43">
        <f>AR88-AQ88-AR67</f>
        <v/>
      </c>
      <c r="AS112" s="43">
        <f>AS88-AR88-AS67</f>
        <v/>
      </c>
      <c r="AT112" s="43">
        <f>AT88-AS88-AT67</f>
        <v/>
      </c>
      <c r="AU112" s="43">
        <f>AU88-AT88-AU67</f>
        <v/>
      </c>
      <c r="AV112" s="43">
        <f>AV88-AU88-AV67</f>
        <v/>
      </c>
      <c r="AW112" s="43">
        <f>AW88-AV88-AW67</f>
        <v/>
      </c>
      <c r="AX112" s="43">
        <f>AX88-AW88-AX67</f>
        <v/>
      </c>
      <c r="AY112" s="43">
        <f>AY88-AX88-AY67</f>
        <v/>
      </c>
      <c r="AZ112" s="43">
        <f>AZ88-AY88-AZ67</f>
        <v/>
      </c>
      <c r="BA112" s="43">
        <f>BA88-AZ88-BA67</f>
        <v/>
      </c>
      <c r="BB112" s="43">
        <f>BB88-BA88-BB67</f>
        <v/>
      </c>
      <c r="BC112" s="43">
        <f>BC88-BB88-BC67</f>
        <v/>
      </c>
      <c r="BD112" s="43">
        <f>BD88-BC88-BD67</f>
        <v/>
      </c>
      <c r="BE112" s="43">
        <f>BE88-BD88-BE67</f>
        <v/>
      </c>
      <c r="BF112" s="43">
        <f>BF88-BE88-BF67</f>
        <v/>
      </c>
      <c r="BG112" s="43">
        <f>BG88-BF88-BG67</f>
        <v/>
      </c>
      <c r="BH112" s="38">
        <f>0</f>
        <v/>
      </c>
      <c r="BI112" s="38">
        <f>0</f>
        <v/>
      </c>
      <c r="BJ112" s="38">
        <f>0</f>
        <v/>
      </c>
      <c r="BK112" s="38">
        <f>0</f>
        <v/>
      </c>
      <c r="BL112" s="38">
        <f>0</f>
        <v/>
      </c>
      <c r="BM112" s="38">
        <f>0</f>
        <v/>
      </c>
      <c r="BN112" s="38">
        <f>0</f>
        <v/>
      </c>
      <c r="BO112" s="38">
        <f>0</f>
        <v/>
      </c>
      <c r="BP112" s="38">
        <f>0</f>
        <v/>
      </c>
      <c r="BQ112" s="38">
        <f>0</f>
        <v/>
      </c>
      <c r="BR112" s="31" t="inlineStr">
        <is>
          <t>优先股股息、RNCI变动及其他。</t>
        </is>
      </c>
    </row>
    <row r="113">
      <c r="A113" s="4" t="inlineStr">
        <is>
          <t>CF</t>
        </is>
      </c>
      <c r="B113" s="5" t="inlineStr">
        <is>
          <t>Cash from financing (CFF)</t>
        </is>
      </c>
      <c r="C113" s="4" t="inlineStr">
        <is>
          <t>$000</t>
        </is>
      </c>
      <c r="D113" s="45">
        <f>D110+D111+D112</f>
        <v/>
      </c>
      <c r="E113" s="45">
        <f>E110+E111+E112</f>
        <v/>
      </c>
      <c r="F113" s="45">
        <f>F110+F111+F112</f>
        <v/>
      </c>
      <c r="G113" s="45">
        <f>G110+G111+G112</f>
        <v/>
      </c>
      <c r="H113" s="45">
        <f>H110+H111+H112</f>
        <v/>
      </c>
      <c r="I113" s="45">
        <f>I110+I111+I112</f>
        <v/>
      </c>
      <c r="J113" s="45">
        <f>J110+J111+J112</f>
        <v/>
      </c>
      <c r="K113" s="45">
        <f>K110+K111+K112</f>
        <v/>
      </c>
      <c r="L113" s="45">
        <f>L110+L111+L112</f>
        <v/>
      </c>
      <c r="M113" s="45">
        <f>M110+M111+M112</f>
        <v/>
      </c>
      <c r="N113" s="45">
        <f>BF113+BG113+BH113+BI113</f>
        <v/>
      </c>
      <c r="O113" s="45">
        <f>BJ113+BK113+BL113+BM113</f>
        <v/>
      </c>
      <c r="P113" s="45">
        <f>BN113+BO113+BP113+BQ113</f>
        <v/>
      </c>
      <c r="R113" s="45">
        <f>R110+R111+R112</f>
        <v/>
      </c>
      <c r="S113" s="45">
        <f>S110+S111+S112</f>
        <v/>
      </c>
      <c r="T113" s="45">
        <f>T110+T111+T112</f>
        <v/>
      </c>
      <c r="U113" s="45">
        <f>U110+U111+U112</f>
        <v/>
      </c>
      <c r="V113" s="45">
        <f>V110+V111+V112</f>
        <v/>
      </c>
      <c r="W113" s="45">
        <f>W110+W111+W112</f>
        <v/>
      </c>
      <c r="X113" s="45">
        <f>X110+X111+X112</f>
        <v/>
      </c>
      <c r="Y113" s="45">
        <f>Y110+Y111+Y112</f>
        <v/>
      </c>
      <c r="Z113" s="45">
        <f>Z110+Z111+Z112</f>
        <v/>
      </c>
      <c r="AA113" s="45">
        <f>AA110+AA111+AA112</f>
        <v/>
      </c>
      <c r="AB113" s="45">
        <f>AB110+AB111+AB112</f>
        <v/>
      </c>
      <c r="AC113" s="45">
        <f>AC110+AC111+AC112</f>
        <v/>
      </c>
      <c r="AD113" s="45">
        <f>AD110+AD111+AD112</f>
        <v/>
      </c>
      <c r="AE113" s="45">
        <f>AE110+AE111+AE112</f>
        <v/>
      </c>
      <c r="AF113" s="45">
        <f>AF110+AF111+AF112</f>
        <v/>
      </c>
      <c r="AG113" s="45">
        <f>AG110+AG111+AG112</f>
        <v/>
      </c>
      <c r="AH113" s="45">
        <f>AH110+AH111+AH112</f>
        <v/>
      </c>
      <c r="AI113" s="45">
        <f>AI110+AI111+AI112</f>
        <v/>
      </c>
      <c r="AJ113" s="45">
        <f>AJ110+AJ111+AJ112</f>
        <v/>
      </c>
      <c r="AK113" s="45">
        <f>AK110+AK111+AK112</f>
        <v/>
      </c>
      <c r="AL113" s="45">
        <f>AL110+AL111+AL112</f>
        <v/>
      </c>
      <c r="AM113" s="45">
        <f>AM110+AM111+AM112</f>
        <v/>
      </c>
      <c r="AN113" s="45">
        <f>AN110+AN111+AN112</f>
        <v/>
      </c>
      <c r="AO113" s="45">
        <f>AO110+AO111+AO112</f>
        <v/>
      </c>
      <c r="AP113" s="45">
        <f>AP110+AP111+AP112</f>
        <v/>
      </c>
      <c r="AQ113" s="45">
        <f>AQ110+AQ111+AQ112</f>
        <v/>
      </c>
      <c r="AR113" s="45">
        <f>AR110+AR111+AR112</f>
        <v/>
      </c>
      <c r="AS113" s="45">
        <f>AS110+AS111+AS112</f>
        <v/>
      </c>
      <c r="AT113" s="45">
        <f>AT110+AT111+AT112</f>
        <v/>
      </c>
      <c r="AU113" s="45">
        <f>AU110+AU111+AU112</f>
        <v/>
      </c>
      <c r="AV113" s="45">
        <f>AV110+AV111+AV112</f>
        <v/>
      </c>
      <c r="AW113" s="45">
        <f>AW110+AW111+AW112</f>
        <v/>
      </c>
      <c r="AX113" s="45">
        <f>AX110+AX111+AX112</f>
        <v/>
      </c>
      <c r="AY113" s="45">
        <f>AY110+AY111+AY112</f>
        <v/>
      </c>
      <c r="AZ113" s="45">
        <f>AZ110+AZ111+AZ112</f>
        <v/>
      </c>
      <c r="BA113" s="45">
        <f>BA110+BA111+BA112</f>
        <v/>
      </c>
      <c r="BB113" s="45">
        <f>BB110+BB111+BB112</f>
        <v/>
      </c>
      <c r="BC113" s="45">
        <f>BC110+BC111+BC112</f>
        <v/>
      </c>
      <c r="BD113" s="45">
        <f>BD110+BD111+BD112</f>
        <v/>
      </c>
      <c r="BE113" s="45">
        <f>BE110+BE111+BE112</f>
        <v/>
      </c>
      <c r="BF113" s="45">
        <f>BF110+BF111+BF112</f>
        <v/>
      </c>
      <c r="BG113" s="45">
        <f>BG110+BG111+BG112</f>
        <v/>
      </c>
      <c r="BH113" s="45">
        <f>BH110+BH111+BH112</f>
        <v/>
      </c>
      <c r="BI113" s="45">
        <f>BI110+BI111+BI112</f>
        <v/>
      </c>
      <c r="BJ113" s="45">
        <f>BJ110+BJ111+BJ112</f>
        <v/>
      </c>
      <c r="BK113" s="45">
        <f>BK110+BK111+BK112</f>
        <v/>
      </c>
      <c r="BL113" s="45">
        <f>BL110+BL111+BL112</f>
        <v/>
      </c>
      <c r="BM113" s="45">
        <f>BM110+BM111+BM112</f>
        <v/>
      </c>
      <c r="BN113" s="45">
        <f>BN110+BN111+BN112</f>
        <v/>
      </c>
      <c r="BO113" s="45">
        <f>BO110+BO111+BO112</f>
        <v/>
      </c>
      <c r="BP113" s="45">
        <f>BP110+BP111+BP112</f>
        <v/>
      </c>
      <c r="BQ113" s="45">
        <f>BQ110+BQ111+BQ112</f>
        <v/>
      </c>
      <c r="BR113" s="31" t="inlineStr">
        <is>
          <t>筹资活动现金流。</t>
        </is>
      </c>
    </row>
    <row r="114">
      <c r="A114" s="4" t="inlineStr">
        <is>
          <t>CF</t>
        </is>
      </c>
      <c r="B114" s="7" t="inlineStr">
        <is>
          <t>FX on cash</t>
        </is>
      </c>
      <c r="C114" s="4" t="inlineStr">
        <is>
          <t>$000</t>
        </is>
      </c>
      <c r="D114" s="36" t="n">
        <v>-1412</v>
      </c>
      <c r="E114" s="36" t="n">
        <v>405</v>
      </c>
      <c r="F114" s="36" t="n">
        <v>-430</v>
      </c>
      <c r="G114" s="36" t="n">
        <v>376</v>
      </c>
      <c r="H114" s="36" t="n">
        <v>3905</v>
      </c>
      <c r="I114" s="36" t="n">
        <v>550</v>
      </c>
      <c r="J114" s="36" t="n">
        <v>540</v>
      </c>
      <c r="K114" s="36" t="n">
        <v>-646</v>
      </c>
      <c r="L114" s="36" t="n">
        <v>790</v>
      </c>
      <c r="M114" s="36" t="n">
        <v>7075</v>
      </c>
      <c r="N114" s="37">
        <f>BF114+BG114+BH114+BI114</f>
        <v/>
      </c>
      <c r="O114" s="38">
        <f>BJ114+BK114+BL114+BM114</f>
        <v/>
      </c>
      <c r="P114" s="38">
        <f>BN114+BO114+BP114+BQ114</f>
        <v/>
      </c>
      <c r="R114" s="43">
        <f>R73-(R116+R106+R109+R113)</f>
        <v/>
      </c>
      <c r="S114" s="43">
        <f>S73-(S116+S106+S109+S113)</f>
        <v/>
      </c>
      <c r="T114" s="43">
        <f>T73-(T116+T106+T109+T113)</f>
        <v/>
      </c>
      <c r="U114" s="43">
        <f>U73-(U116+U106+U109+U113)</f>
        <v/>
      </c>
      <c r="V114" s="43">
        <f>V73-(V116+V106+V109+V113)</f>
        <v/>
      </c>
      <c r="W114" s="43">
        <f>W73-(W116+W106+W109+W113)</f>
        <v/>
      </c>
      <c r="X114" s="43">
        <f>X73-(X116+X106+X109+X113)</f>
        <v/>
      </c>
      <c r="Y114" s="43">
        <f>Y73-(Y116+Y106+Y109+Y113)</f>
        <v/>
      </c>
      <c r="Z114" s="43">
        <f>Z73-(Z116+Z106+Z109+Z113)</f>
        <v/>
      </c>
      <c r="AA114" s="43">
        <f>AA73-(AA116+AA106+AA109+AA113)</f>
        <v/>
      </c>
      <c r="AB114" s="43">
        <f>AB73-(AB116+AB106+AB109+AB113)</f>
        <v/>
      </c>
      <c r="AC114" s="43">
        <f>AC73-(AC116+AC106+AC109+AC113)</f>
        <v/>
      </c>
      <c r="AD114" s="43">
        <f>AD73-(AD116+AD106+AD109+AD113)</f>
        <v/>
      </c>
      <c r="AE114" s="43">
        <f>AE73-(AE116+AE106+AE109+AE113)</f>
        <v/>
      </c>
      <c r="AF114" s="43">
        <f>AF73-(AF116+AF106+AF109+AF113)</f>
        <v/>
      </c>
      <c r="AG114" s="43">
        <f>AG73-(AG116+AG106+AG109+AG113)</f>
        <v/>
      </c>
      <c r="AH114" s="43">
        <f>AH73-(AH116+AH106+AH109+AH113)</f>
        <v/>
      </c>
      <c r="AI114" s="43">
        <f>AI73-(AI116+AI106+AI109+AI113)</f>
        <v/>
      </c>
      <c r="AJ114" s="43">
        <f>AJ73-(AJ116+AJ106+AJ109+AJ113)</f>
        <v/>
      </c>
      <c r="AK114" s="43">
        <f>AK73-(AK116+AK106+AK109+AK113)</f>
        <v/>
      </c>
      <c r="AL114" s="43">
        <f>AL73-(AL116+AL106+AL109+AL113)</f>
        <v/>
      </c>
      <c r="AM114" s="43">
        <f>AM73-(AM116+AM106+AM109+AM113)</f>
        <v/>
      </c>
      <c r="AN114" s="43">
        <f>AN73-(AN116+AN106+AN109+AN113)</f>
        <v/>
      </c>
      <c r="AO114" s="43">
        <f>AO73-(AO116+AO106+AO109+AO113)</f>
        <v/>
      </c>
      <c r="AP114" s="43">
        <f>AP73-(AP116+AP106+AP109+AP113)</f>
        <v/>
      </c>
      <c r="AQ114" s="43">
        <f>AQ73-(AQ116+AQ106+AQ109+AQ113)</f>
        <v/>
      </c>
      <c r="AR114" s="43">
        <f>AR73-(AR116+AR106+AR109+AR113)</f>
        <v/>
      </c>
      <c r="AS114" s="43">
        <f>AS73-(AS116+AS106+AS109+AS113)</f>
        <v/>
      </c>
      <c r="AT114" s="43">
        <f>AT73-(AT116+AT106+AT109+AT113)</f>
        <v/>
      </c>
      <c r="AU114" s="43">
        <f>AU73-(AU116+AU106+AU109+AU113)</f>
        <v/>
      </c>
      <c r="AV114" s="43">
        <f>AV73-(AV116+AV106+AV109+AV113)</f>
        <v/>
      </c>
      <c r="AW114" s="43">
        <f>AW73-(AW116+AW106+AW109+AW113)</f>
        <v/>
      </c>
      <c r="AX114" s="43">
        <f>AX73-(AX116+AX106+AX109+AX113)</f>
        <v/>
      </c>
      <c r="AY114" s="43">
        <f>AY73-(AY116+AY106+AY109+AY113)</f>
        <v/>
      </c>
      <c r="AZ114" s="43">
        <f>AZ73-(AZ116+AZ106+AZ109+AZ113)</f>
        <v/>
      </c>
      <c r="BA114" s="43">
        <f>BA73-(BA116+BA106+BA109+BA113)</f>
        <v/>
      </c>
      <c r="BB114" s="43">
        <f>BB73-(BB116+BB106+BB109+BB113)</f>
        <v/>
      </c>
      <c r="BC114" s="43">
        <f>BC73-(BC116+BC106+BC109+BC113)</f>
        <v/>
      </c>
      <c r="BD114" s="43">
        <f>BD73-(BD116+BD106+BD109+BD113)</f>
        <v/>
      </c>
      <c r="BE114" s="43">
        <f>BE73-(BE116+BE106+BE109+BE113)</f>
        <v/>
      </c>
      <c r="BF114" s="43">
        <f>BF73-(BF116+BF106+BF109+BF113)</f>
        <v/>
      </c>
      <c r="BG114" s="43">
        <f>BG73-(BG116+BG106+BG109+BG113)</f>
        <v/>
      </c>
      <c r="BH114" s="44" t="n">
        <v>0</v>
      </c>
      <c r="BI114" s="44" t="n">
        <v>0</v>
      </c>
      <c r="BJ114" s="44" t="n">
        <v>0</v>
      </c>
      <c r="BK114" s="44" t="n">
        <v>0</v>
      </c>
      <c r="BL114" s="44" t="n">
        <v>0</v>
      </c>
      <c r="BM114" s="44" t="n">
        <v>0</v>
      </c>
      <c r="BN114" s="44" t="n">
        <v>0</v>
      </c>
      <c r="BO114" s="44" t="n">
        <v>0</v>
      </c>
      <c r="BP114" s="44" t="n">
        <v>0</v>
      </c>
      <c r="BQ114" s="44" t="n">
        <v>0</v>
      </c>
      <c r="BR114" s="31" t="inlineStr">
        <is>
          <t>汇率变动。预测0；历史硬编码。</t>
        </is>
      </c>
    </row>
    <row r="115">
      <c r="A115" s="4" t="inlineStr">
        <is>
          <t>CF</t>
        </is>
      </c>
      <c r="B115" s="5" t="inlineStr">
        <is>
          <t>Net change in cash</t>
        </is>
      </c>
      <c r="C115" s="4" t="inlineStr">
        <is>
          <t>$000</t>
        </is>
      </c>
      <c r="D115" s="45">
        <f>D106+D109+D113+D114</f>
        <v/>
      </c>
      <c r="E115" s="45">
        <f>E106+E109+E113+E114</f>
        <v/>
      </c>
      <c r="F115" s="45">
        <f>F106+F109+F113+F114</f>
        <v/>
      </c>
      <c r="G115" s="45">
        <f>G106+G109+G113+G114</f>
        <v/>
      </c>
      <c r="H115" s="45">
        <f>H106+H109+H113+H114</f>
        <v/>
      </c>
      <c r="I115" s="45">
        <f>I106+I109+I113+I114</f>
        <v/>
      </c>
      <c r="J115" s="45">
        <f>J106+J109+J113+J114</f>
        <v/>
      </c>
      <c r="K115" s="45">
        <f>K106+K109+K113+K114</f>
        <v/>
      </c>
      <c r="L115" s="45">
        <f>L106+L109+L113+L114</f>
        <v/>
      </c>
      <c r="M115" s="45">
        <f>M106+M109+M113+M114</f>
        <v/>
      </c>
      <c r="N115" s="45">
        <f>BF115+BG115+BH115+BI115</f>
        <v/>
      </c>
      <c r="O115" s="45">
        <f>BJ115+BK115+BL115+BM115</f>
        <v/>
      </c>
      <c r="P115" s="45">
        <f>BN115+BO115+BP115+BQ115</f>
        <v/>
      </c>
      <c r="R115" s="45">
        <f>R106+R109+R113+R114</f>
        <v/>
      </c>
      <c r="S115" s="45">
        <f>S106+S109+S113+S114</f>
        <v/>
      </c>
      <c r="T115" s="45">
        <f>T106+T109+T113+T114</f>
        <v/>
      </c>
      <c r="U115" s="45">
        <f>U106+U109+U113+U114</f>
        <v/>
      </c>
      <c r="V115" s="45">
        <f>V106+V109+V113+V114</f>
        <v/>
      </c>
      <c r="W115" s="45">
        <f>W106+W109+W113+W114</f>
        <v/>
      </c>
      <c r="X115" s="45">
        <f>X106+X109+X113+X114</f>
        <v/>
      </c>
      <c r="Y115" s="45">
        <f>Y106+Y109+Y113+Y114</f>
        <v/>
      </c>
      <c r="Z115" s="45">
        <f>Z106+Z109+Z113+Z114</f>
        <v/>
      </c>
      <c r="AA115" s="45">
        <f>AA106+AA109+AA113+AA114</f>
        <v/>
      </c>
      <c r="AB115" s="45">
        <f>AB106+AB109+AB113+AB114</f>
        <v/>
      </c>
      <c r="AC115" s="45">
        <f>AC106+AC109+AC113+AC114</f>
        <v/>
      </c>
      <c r="AD115" s="45">
        <f>AD106+AD109+AD113+AD114</f>
        <v/>
      </c>
      <c r="AE115" s="45">
        <f>AE106+AE109+AE113+AE114</f>
        <v/>
      </c>
      <c r="AF115" s="45">
        <f>AF106+AF109+AF113+AF114</f>
        <v/>
      </c>
      <c r="AG115" s="45">
        <f>AG106+AG109+AG113+AG114</f>
        <v/>
      </c>
      <c r="AH115" s="45">
        <f>AH106+AH109+AH113+AH114</f>
        <v/>
      </c>
      <c r="AI115" s="45">
        <f>AI106+AI109+AI113+AI114</f>
        <v/>
      </c>
      <c r="AJ115" s="45">
        <f>AJ106+AJ109+AJ113+AJ114</f>
        <v/>
      </c>
      <c r="AK115" s="45">
        <f>AK106+AK109+AK113+AK114</f>
        <v/>
      </c>
      <c r="AL115" s="45">
        <f>AL106+AL109+AL113+AL114</f>
        <v/>
      </c>
      <c r="AM115" s="45">
        <f>AM106+AM109+AM113+AM114</f>
        <v/>
      </c>
      <c r="AN115" s="45">
        <f>AN106+AN109+AN113+AN114</f>
        <v/>
      </c>
      <c r="AO115" s="45">
        <f>AO106+AO109+AO113+AO114</f>
        <v/>
      </c>
      <c r="AP115" s="45">
        <f>AP106+AP109+AP113+AP114</f>
        <v/>
      </c>
      <c r="AQ115" s="45">
        <f>AQ106+AQ109+AQ113+AQ114</f>
        <v/>
      </c>
      <c r="AR115" s="45">
        <f>AR106+AR109+AR113+AR114</f>
        <v/>
      </c>
      <c r="AS115" s="45">
        <f>AS106+AS109+AS113+AS114</f>
        <v/>
      </c>
      <c r="AT115" s="45">
        <f>AT106+AT109+AT113+AT114</f>
        <v/>
      </c>
      <c r="AU115" s="45">
        <f>AU106+AU109+AU113+AU114</f>
        <v/>
      </c>
      <c r="AV115" s="45">
        <f>AV106+AV109+AV113+AV114</f>
        <v/>
      </c>
      <c r="AW115" s="45">
        <f>AW106+AW109+AW113+AW114</f>
        <v/>
      </c>
      <c r="AX115" s="45">
        <f>AX106+AX109+AX113+AX114</f>
        <v/>
      </c>
      <c r="AY115" s="45">
        <f>AY106+AY109+AY113+AY114</f>
        <v/>
      </c>
      <c r="AZ115" s="45">
        <f>AZ106+AZ109+AZ113+AZ114</f>
        <v/>
      </c>
      <c r="BA115" s="45">
        <f>BA106+BA109+BA113+BA114</f>
        <v/>
      </c>
      <c r="BB115" s="45">
        <f>BB106+BB109+BB113+BB114</f>
        <v/>
      </c>
      <c r="BC115" s="45">
        <f>BC106+BC109+BC113+BC114</f>
        <v/>
      </c>
      <c r="BD115" s="45">
        <f>BD106+BD109+BD113+BD114</f>
        <v/>
      </c>
      <c r="BE115" s="45">
        <f>BE106+BE109+BE113+BE114</f>
        <v/>
      </c>
      <c r="BF115" s="45">
        <f>BF106+BF109+BF113+BF114</f>
        <v/>
      </c>
      <c r="BG115" s="45">
        <f>BG106+BG109+BG113+BG114</f>
        <v/>
      </c>
      <c r="BH115" s="45">
        <f>BH106+BH109+BH113+BH114</f>
        <v/>
      </c>
      <c r="BI115" s="45">
        <f>BI106+BI109+BI113+BI114</f>
        <v/>
      </c>
      <c r="BJ115" s="45">
        <f>BJ106+BJ109+BJ113+BJ114</f>
        <v/>
      </c>
      <c r="BK115" s="45">
        <f>BK106+BK109+BK113+BK114</f>
        <v/>
      </c>
      <c r="BL115" s="45">
        <f>BL106+BL109+BL113+BL114</f>
        <v/>
      </c>
      <c r="BM115" s="45">
        <f>BM106+BM109+BM113+BM114</f>
        <v/>
      </c>
      <c r="BN115" s="45">
        <f>BN106+BN109+BN113+BN114</f>
        <v/>
      </c>
      <c r="BO115" s="45">
        <f>BO106+BO109+BO113+BO114</f>
        <v/>
      </c>
      <c r="BP115" s="45">
        <f>BP106+BP109+BP113+BP114</f>
        <v/>
      </c>
      <c r="BQ115" s="45">
        <f>BQ106+BQ109+BQ113+BQ114</f>
        <v/>
      </c>
      <c r="BR115" s="31" t="inlineStr">
        <is>
          <t>CFO+CFI+CFF+FX。</t>
        </is>
      </c>
    </row>
    <row r="116">
      <c r="A116" s="4" t="inlineStr">
        <is>
          <t>CF</t>
        </is>
      </c>
      <c r="B116" s="7" t="inlineStr">
        <is>
          <t>Opening cash</t>
        </is>
      </c>
      <c r="C116" s="4" t="inlineStr">
        <is>
          <t>$000</t>
        </is>
      </c>
      <c r="D116" s="36" t="n">
        <v>24875</v>
      </c>
      <c r="E116" s="43">
        <f>D73</f>
        <v/>
      </c>
      <c r="F116" s="43">
        <f>E73</f>
        <v/>
      </c>
      <c r="G116" s="43">
        <f>F73</f>
        <v/>
      </c>
      <c r="H116" s="43">
        <f>G73</f>
        <v/>
      </c>
      <c r="I116" s="43">
        <f>H73</f>
        <v/>
      </c>
      <c r="J116" s="43">
        <f>I73</f>
        <v/>
      </c>
      <c r="K116" s="43">
        <f>J73</f>
        <v/>
      </c>
      <c r="L116" s="43">
        <f>K73</f>
        <v/>
      </c>
      <c r="M116" s="43">
        <f>L73</f>
        <v/>
      </c>
      <c r="N116" s="37">
        <f>BF116</f>
        <v/>
      </c>
      <c r="O116" s="38">
        <f>BJ116</f>
        <v/>
      </c>
      <c r="P116" s="38">
        <f>BN116</f>
        <v/>
      </c>
      <c r="R116" s="36" t="n">
        <v>24875</v>
      </c>
      <c r="S116" s="43">
        <f>R73</f>
        <v/>
      </c>
      <c r="T116" s="43">
        <f>S73</f>
        <v/>
      </c>
      <c r="U116" s="43">
        <f>T73</f>
        <v/>
      </c>
      <c r="V116" s="43">
        <f>U73</f>
        <v/>
      </c>
      <c r="W116" s="43">
        <f>V73</f>
        <v/>
      </c>
      <c r="X116" s="43">
        <f>W73</f>
        <v/>
      </c>
      <c r="Y116" s="43">
        <f>X73</f>
        <v/>
      </c>
      <c r="Z116" s="43">
        <f>Y73</f>
        <v/>
      </c>
      <c r="AA116" s="43">
        <f>Z73</f>
        <v/>
      </c>
      <c r="AB116" s="43">
        <f>AA73</f>
        <v/>
      </c>
      <c r="AC116" s="43">
        <f>AB73</f>
        <v/>
      </c>
      <c r="AD116" s="43">
        <f>AC73</f>
        <v/>
      </c>
      <c r="AE116" s="43">
        <f>AD73</f>
        <v/>
      </c>
      <c r="AF116" s="43">
        <f>AE73</f>
        <v/>
      </c>
      <c r="AG116" s="43">
        <f>AF73</f>
        <v/>
      </c>
      <c r="AH116" s="43">
        <f>AG73</f>
        <v/>
      </c>
      <c r="AI116" s="43">
        <f>AH73</f>
        <v/>
      </c>
      <c r="AJ116" s="43">
        <f>AI73</f>
        <v/>
      </c>
      <c r="AK116" s="43">
        <f>AJ73</f>
        <v/>
      </c>
      <c r="AL116" s="43">
        <f>AK73</f>
        <v/>
      </c>
      <c r="AM116" s="43">
        <f>AL73</f>
        <v/>
      </c>
      <c r="AN116" s="43">
        <f>AM73</f>
        <v/>
      </c>
      <c r="AO116" s="43">
        <f>AN73</f>
        <v/>
      </c>
      <c r="AP116" s="43">
        <f>AO73</f>
        <v/>
      </c>
      <c r="AQ116" s="43">
        <f>AP73</f>
        <v/>
      </c>
      <c r="AR116" s="43">
        <f>AQ73</f>
        <v/>
      </c>
      <c r="AS116" s="43">
        <f>AR73</f>
        <v/>
      </c>
      <c r="AT116" s="43">
        <f>AS73</f>
        <v/>
      </c>
      <c r="AU116" s="43">
        <f>AT73</f>
        <v/>
      </c>
      <c r="AV116" s="43">
        <f>AU73</f>
        <v/>
      </c>
      <c r="AW116" s="43">
        <f>AV73</f>
        <v/>
      </c>
      <c r="AX116" s="43">
        <f>AW73</f>
        <v/>
      </c>
      <c r="AY116" s="43">
        <f>AX73</f>
        <v/>
      </c>
      <c r="AZ116" s="43">
        <f>AY73</f>
        <v/>
      </c>
      <c r="BA116" s="43">
        <f>AZ73</f>
        <v/>
      </c>
      <c r="BB116" s="43">
        <f>BA73</f>
        <v/>
      </c>
      <c r="BC116" s="43">
        <f>BB73</f>
        <v/>
      </c>
      <c r="BD116" s="43">
        <f>BC73</f>
        <v/>
      </c>
      <c r="BE116" s="43">
        <f>BD73</f>
        <v/>
      </c>
      <c r="BF116" s="43">
        <f>BE73</f>
        <v/>
      </c>
      <c r="BG116" s="43">
        <f>BF73</f>
        <v/>
      </c>
      <c r="BH116" s="38">
        <f>BG73</f>
        <v/>
      </c>
      <c r="BI116" s="38">
        <f>BH73</f>
        <v/>
      </c>
      <c r="BJ116" s="38">
        <f>BI73</f>
        <v/>
      </c>
      <c r="BK116" s="38">
        <f>BJ73</f>
        <v/>
      </c>
      <c r="BL116" s="38">
        <f>BK73</f>
        <v/>
      </c>
      <c r="BM116" s="38">
        <f>BL73</f>
        <v/>
      </c>
      <c r="BN116" s="38">
        <f>BM73</f>
        <v/>
      </c>
      <c r="BO116" s="38">
        <f>BN73</f>
        <v/>
      </c>
      <c r="BP116" s="38">
        <f>BO73</f>
        <v/>
      </c>
      <c r="BQ116" s="38">
        <f>BP73</f>
        <v/>
      </c>
      <c r="BR116" s="31" t="inlineStr">
        <is>
          <t>期初现金。年度=上年年末；季度=上季。</t>
        </is>
      </c>
    </row>
    <row r="117">
      <c r="A117" s="4" t="inlineStr">
        <is>
          <t>CF</t>
        </is>
      </c>
      <c r="B117" s="5" t="inlineStr">
        <is>
          <t>Closing cash (CFS)</t>
        </is>
      </c>
      <c r="C117" s="4" t="inlineStr">
        <is>
          <t>$000</t>
        </is>
      </c>
      <c r="D117" s="45">
        <f>D73</f>
        <v/>
      </c>
      <c r="E117" s="45">
        <f>E73</f>
        <v/>
      </c>
      <c r="F117" s="45">
        <f>F73</f>
        <v/>
      </c>
      <c r="G117" s="45">
        <f>G73</f>
        <v/>
      </c>
      <c r="H117" s="45">
        <f>H73</f>
        <v/>
      </c>
      <c r="I117" s="45">
        <f>I73</f>
        <v/>
      </c>
      <c r="J117" s="45">
        <f>J73</f>
        <v/>
      </c>
      <c r="K117" s="45">
        <f>K73</f>
        <v/>
      </c>
      <c r="L117" s="45">
        <f>L73</f>
        <v/>
      </c>
      <c r="M117" s="45">
        <f>M73</f>
        <v/>
      </c>
      <c r="N117" s="45">
        <f>BI117</f>
        <v/>
      </c>
      <c r="O117" s="45">
        <f>BM117</f>
        <v/>
      </c>
      <c r="P117" s="45">
        <f>BQ117</f>
        <v/>
      </c>
      <c r="R117" s="45">
        <f>R116+R115</f>
        <v/>
      </c>
      <c r="S117" s="45">
        <f>S116+S115</f>
        <v/>
      </c>
      <c r="T117" s="45">
        <f>T116+T115</f>
        <v/>
      </c>
      <c r="U117" s="45">
        <f>U116+U115</f>
        <v/>
      </c>
      <c r="V117" s="45">
        <f>V116+V115</f>
        <v/>
      </c>
      <c r="W117" s="45">
        <f>W116+W115</f>
        <v/>
      </c>
      <c r="X117" s="45">
        <f>X116+X115</f>
        <v/>
      </c>
      <c r="Y117" s="45">
        <f>Y116+Y115</f>
        <v/>
      </c>
      <c r="Z117" s="45">
        <f>Z116+Z115</f>
        <v/>
      </c>
      <c r="AA117" s="45">
        <f>AA116+AA115</f>
        <v/>
      </c>
      <c r="AB117" s="45">
        <f>AB116+AB115</f>
        <v/>
      </c>
      <c r="AC117" s="45">
        <f>AC116+AC115</f>
        <v/>
      </c>
      <c r="AD117" s="45">
        <f>AD116+AD115</f>
        <v/>
      </c>
      <c r="AE117" s="45">
        <f>AE116+AE115</f>
        <v/>
      </c>
      <c r="AF117" s="45">
        <f>AF116+AF115</f>
        <v/>
      </c>
      <c r="AG117" s="45">
        <f>AG116+AG115</f>
        <v/>
      </c>
      <c r="AH117" s="45">
        <f>AH116+AH115</f>
        <v/>
      </c>
      <c r="AI117" s="45">
        <f>AI116+AI115</f>
        <v/>
      </c>
      <c r="AJ117" s="45">
        <f>AJ116+AJ115</f>
        <v/>
      </c>
      <c r="AK117" s="45">
        <f>AK116+AK115</f>
        <v/>
      </c>
      <c r="AL117" s="45">
        <f>AL116+AL115</f>
        <v/>
      </c>
      <c r="AM117" s="45">
        <f>AM116+AM115</f>
        <v/>
      </c>
      <c r="AN117" s="45">
        <f>AN116+AN115</f>
        <v/>
      </c>
      <c r="AO117" s="45">
        <f>AO116+AO115</f>
        <v/>
      </c>
      <c r="AP117" s="45">
        <f>AP116+AP115</f>
        <v/>
      </c>
      <c r="AQ117" s="45">
        <f>AQ116+AQ115</f>
        <v/>
      </c>
      <c r="AR117" s="45">
        <f>AR116+AR115</f>
        <v/>
      </c>
      <c r="AS117" s="45">
        <f>AS116+AS115</f>
        <v/>
      </c>
      <c r="AT117" s="45">
        <f>AT116+AT115</f>
        <v/>
      </c>
      <c r="AU117" s="45">
        <f>AU116+AU115</f>
        <v/>
      </c>
      <c r="AV117" s="45">
        <f>AV116+AV115</f>
        <v/>
      </c>
      <c r="AW117" s="45">
        <f>AW116+AW115</f>
        <v/>
      </c>
      <c r="AX117" s="45">
        <f>AX116+AX115</f>
        <v/>
      </c>
      <c r="AY117" s="45">
        <f>AY116+AY115</f>
        <v/>
      </c>
      <c r="AZ117" s="45">
        <f>AZ116+AZ115</f>
        <v/>
      </c>
      <c r="BA117" s="45">
        <f>BA116+BA115</f>
        <v/>
      </c>
      <c r="BB117" s="45">
        <f>BB116+BB115</f>
        <v/>
      </c>
      <c r="BC117" s="45">
        <f>BC116+BC115</f>
        <v/>
      </c>
      <c r="BD117" s="45">
        <f>BD116+BD115</f>
        <v/>
      </c>
      <c r="BE117" s="45">
        <f>BE116+BE115</f>
        <v/>
      </c>
      <c r="BF117" s="45">
        <f>BF116+BF115</f>
        <v/>
      </c>
      <c r="BG117" s="45">
        <f>BG116+BG115</f>
        <v/>
      </c>
      <c r="BH117" s="45">
        <f>BH116+BH115</f>
        <v/>
      </c>
      <c r="BI117" s="45">
        <f>BI116+BI115</f>
        <v/>
      </c>
      <c r="BJ117" s="45">
        <f>BJ116+BJ115</f>
        <v/>
      </c>
      <c r="BK117" s="45">
        <f>BK116+BK115</f>
        <v/>
      </c>
      <c r="BL117" s="45">
        <f>BL116+BL115</f>
        <v/>
      </c>
      <c r="BM117" s="45">
        <f>BM116+BM115</f>
        <v/>
      </c>
      <c r="BN117" s="45">
        <f>BN116+BN115</f>
        <v/>
      </c>
      <c r="BO117" s="45">
        <f>BO116+BO115</f>
        <v/>
      </c>
      <c r="BP117" s="45">
        <f>BP116+BP115</f>
        <v/>
      </c>
      <c r="BQ117" s="45">
        <f>BQ116+BQ115</f>
        <v/>
      </c>
      <c r="BR117" s="31" t="inlineStr">
        <is>
          <t>期末现金（CFS）=期初+ΔCash，应等于BS现金。</t>
        </is>
      </c>
    </row>
    <row r="119">
      <c r="A119" s="59" t="inlineStr">
        <is>
          <t>VI.  INTEGRITY CHECKS  （三表配平 / 勾稽，目标=0）</t>
        </is>
      </c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  <c r="AA119" s="60" t="n"/>
      <c r="AB119" s="60" t="n"/>
      <c r="AC119" s="60" t="n"/>
      <c r="AD119" s="60" t="n"/>
      <c r="AE119" s="60" t="n"/>
      <c r="AF119" s="60" t="n"/>
      <c r="AG119" s="60" t="n"/>
      <c r="AH119" s="60" t="n"/>
      <c r="AI119" s="60" t="n"/>
      <c r="AJ119" s="60" t="n"/>
      <c r="AK119" s="60" t="n"/>
      <c r="AL119" s="60" t="n"/>
      <c r="AM119" s="60" t="n"/>
      <c r="AN119" s="60" t="n"/>
      <c r="AO119" s="60" t="n"/>
      <c r="AP119" s="60" t="n"/>
      <c r="AQ119" s="60" t="n"/>
      <c r="AR119" s="60" t="n"/>
      <c r="AS119" s="60" t="n"/>
      <c r="AT119" s="60" t="n"/>
      <c r="AU119" s="60" t="n"/>
      <c r="AV119" s="60" t="n"/>
      <c r="AW119" s="60" t="n"/>
      <c r="AX119" s="60" t="n"/>
      <c r="AY119" s="60" t="n"/>
      <c r="AZ119" s="60" t="n"/>
      <c r="BA119" s="60" t="n"/>
      <c r="BB119" s="60" t="n"/>
      <c r="BC119" s="60" t="n"/>
      <c r="BD119" s="60" t="n"/>
      <c r="BE119" s="60" t="n"/>
      <c r="BF119" s="60" t="n"/>
      <c r="BG119" s="60" t="n"/>
      <c r="BH119" s="60" t="n"/>
      <c r="BI119" s="60" t="n"/>
      <c r="BJ119" s="60" t="n"/>
      <c r="BK119" s="60" t="n"/>
      <c r="BL119" s="60" t="n"/>
      <c r="BM119" s="60" t="n"/>
      <c r="BN119" s="60" t="n"/>
      <c r="BO119" s="60" t="n"/>
      <c r="BP119" s="60" t="n"/>
      <c r="BQ119" s="60" t="n"/>
      <c r="BR119" s="60" t="inlineStr"/>
    </row>
    <row r="120">
      <c r="A120" s="4" t="inlineStr">
        <is>
          <t>Check</t>
        </is>
      </c>
      <c r="B120" s="7" t="inlineStr">
        <is>
          <t>BS: Assets − (Liab + RNCI + Equity)</t>
        </is>
      </c>
      <c r="C120" s="4" t="inlineStr">
        <is>
          <t>$000</t>
        </is>
      </c>
      <c r="D120" s="61">
        <f>D80-D94</f>
        <v/>
      </c>
      <c r="E120" s="61">
        <f>E80-E94</f>
        <v/>
      </c>
      <c r="F120" s="61">
        <f>F80-F94</f>
        <v/>
      </c>
      <c r="G120" s="61">
        <f>G80-G94</f>
        <v/>
      </c>
      <c r="H120" s="61">
        <f>H80-H94</f>
        <v/>
      </c>
      <c r="I120" s="61">
        <f>I80-I94</f>
        <v/>
      </c>
      <c r="J120" s="61">
        <f>J80-J94</f>
        <v/>
      </c>
      <c r="K120" s="61">
        <f>K80-K94</f>
        <v/>
      </c>
      <c r="L120" s="61">
        <f>L80-L94</f>
        <v/>
      </c>
      <c r="M120" s="61">
        <f>M80-M94</f>
        <v/>
      </c>
      <c r="N120" s="61">
        <f>N80-N94</f>
        <v/>
      </c>
      <c r="O120" s="61">
        <f>O80-O94</f>
        <v/>
      </c>
      <c r="P120" s="61">
        <f>P80-P94</f>
        <v/>
      </c>
      <c r="R120" s="61">
        <f>R80-R94</f>
        <v/>
      </c>
      <c r="S120" s="61">
        <f>S80-S94</f>
        <v/>
      </c>
      <c r="T120" s="61">
        <f>T80-T94</f>
        <v/>
      </c>
      <c r="U120" s="61">
        <f>U80-U94</f>
        <v/>
      </c>
      <c r="V120" s="61">
        <f>V80-V94</f>
        <v/>
      </c>
      <c r="W120" s="61">
        <f>W80-W94</f>
        <v/>
      </c>
      <c r="X120" s="61">
        <f>X80-X94</f>
        <v/>
      </c>
      <c r="Y120" s="61">
        <f>Y80-Y94</f>
        <v/>
      </c>
      <c r="Z120" s="61">
        <f>Z80-Z94</f>
        <v/>
      </c>
      <c r="AA120" s="61">
        <f>AA80-AA94</f>
        <v/>
      </c>
      <c r="AB120" s="61">
        <f>AB80-AB94</f>
        <v/>
      </c>
      <c r="AC120" s="61">
        <f>AC80-AC94</f>
        <v/>
      </c>
      <c r="AD120" s="61">
        <f>AD80-AD94</f>
        <v/>
      </c>
      <c r="AE120" s="61">
        <f>AE80-AE94</f>
        <v/>
      </c>
      <c r="AF120" s="61">
        <f>AF80-AF94</f>
        <v/>
      </c>
      <c r="AG120" s="61">
        <f>AG80-AG94</f>
        <v/>
      </c>
      <c r="AH120" s="61">
        <f>AH80-AH94</f>
        <v/>
      </c>
      <c r="AI120" s="61">
        <f>AI80-AI94</f>
        <v/>
      </c>
      <c r="AJ120" s="61">
        <f>AJ80-AJ94</f>
        <v/>
      </c>
      <c r="AK120" s="61">
        <f>AK80-AK94</f>
        <v/>
      </c>
      <c r="AL120" s="61">
        <f>AL80-AL94</f>
        <v/>
      </c>
      <c r="AM120" s="61">
        <f>AM80-AM94</f>
        <v/>
      </c>
      <c r="AN120" s="61">
        <f>AN80-AN94</f>
        <v/>
      </c>
      <c r="AO120" s="61">
        <f>AO80-AO94</f>
        <v/>
      </c>
      <c r="AP120" s="61">
        <f>AP80-AP94</f>
        <v/>
      </c>
      <c r="AQ120" s="61">
        <f>AQ80-AQ94</f>
        <v/>
      </c>
      <c r="AR120" s="61">
        <f>AR80-AR94</f>
        <v/>
      </c>
      <c r="AS120" s="61">
        <f>AS80-AS94</f>
        <v/>
      </c>
      <c r="AT120" s="61">
        <f>AT80-AT94</f>
        <v/>
      </c>
      <c r="AU120" s="61">
        <f>AU80-AU94</f>
        <v/>
      </c>
      <c r="AV120" s="61">
        <f>AV80-AV94</f>
        <v/>
      </c>
      <c r="AW120" s="61">
        <f>AW80-AW94</f>
        <v/>
      </c>
      <c r="AX120" s="61">
        <f>AX80-AX94</f>
        <v/>
      </c>
      <c r="AY120" s="61">
        <f>AY80-AY94</f>
        <v/>
      </c>
      <c r="AZ120" s="61">
        <f>AZ80-AZ94</f>
        <v/>
      </c>
      <c r="BA120" s="61">
        <f>BA80-BA94</f>
        <v/>
      </c>
      <c r="BB120" s="61">
        <f>BB80-BB94</f>
        <v/>
      </c>
      <c r="BC120" s="61">
        <f>BC80-BC94</f>
        <v/>
      </c>
      <c r="BD120" s="61">
        <f>BD80-BD94</f>
        <v/>
      </c>
      <c r="BE120" s="61">
        <f>BE80-BE94</f>
        <v/>
      </c>
      <c r="BF120" s="61">
        <f>BF80-BF94</f>
        <v/>
      </c>
      <c r="BG120" s="61">
        <f>BG80-BG94</f>
        <v/>
      </c>
      <c r="BH120" s="61">
        <f>BH80-BH94</f>
        <v/>
      </c>
      <c r="BI120" s="61">
        <f>BI80-BI94</f>
        <v/>
      </c>
      <c r="BJ120" s="61">
        <f>BJ80-BJ94</f>
        <v/>
      </c>
      <c r="BK120" s="61">
        <f>BK80-BK94</f>
        <v/>
      </c>
      <c r="BL120" s="61">
        <f>BL80-BL94</f>
        <v/>
      </c>
      <c r="BM120" s="61">
        <f>BM80-BM94</f>
        <v/>
      </c>
      <c r="BN120" s="61">
        <f>BN80-BN94</f>
        <v/>
      </c>
      <c r="BO120" s="61">
        <f>BO80-BO94</f>
        <v/>
      </c>
      <c r="BP120" s="61">
        <f>BP80-BP94</f>
        <v/>
      </c>
      <c r="BQ120" s="61">
        <f>BQ80-BQ94</f>
        <v/>
      </c>
      <c r="BR120" s="31" t="inlineStr">
        <is>
          <t>必须为0。</t>
        </is>
      </c>
    </row>
    <row r="121">
      <c r="A121" s="4" t="inlineStr">
        <is>
          <t>Check</t>
        </is>
      </c>
      <c r="B121" s="7" t="inlineStr">
        <is>
          <t>Cash: BS cash − CFS closing cash</t>
        </is>
      </c>
      <c r="C121" s="4" t="inlineStr">
        <is>
          <t>$000</t>
        </is>
      </c>
      <c r="D121" s="61">
        <f>D73-D117</f>
        <v/>
      </c>
      <c r="E121" s="61">
        <f>E73-E117</f>
        <v/>
      </c>
      <c r="F121" s="61">
        <f>F73-F117</f>
        <v/>
      </c>
      <c r="G121" s="61">
        <f>G73-G117</f>
        <v/>
      </c>
      <c r="H121" s="61">
        <f>H73-H117</f>
        <v/>
      </c>
      <c r="I121" s="61">
        <f>I73-I117</f>
        <v/>
      </c>
      <c r="J121" s="61">
        <f>J73-J117</f>
        <v/>
      </c>
      <c r="K121" s="61">
        <f>K73-K117</f>
        <v/>
      </c>
      <c r="L121" s="61">
        <f>L73-L117</f>
        <v/>
      </c>
      <c r="M121" s="61">
        <f>M73-M117</f>
        <v/>
      </c>
      <c r="N121" s="61">
        <f>N73-N117</f>
        <v/>
      </c>
      <c r="O121" s="61">
        <f>O73-O117</f>
        <v/>
      </c>
      <c r="P121" s="61">
        <f>P73-P117</f>
        <v/>
      </c>
      <c r="R121" s="61">
        <f>R73-R117</f>
        <v/>
      </c>
      <c r="S121" s="61">
        <f>S73-S117</f>
        <v/>
      </c>
      <c r="T121" s="61">
        <f>T73-T117</f>
        <v/>
      </c>
      <c r="U121" s="61">
        <f>U73-U117</f>
        <v/>
      </c>
      <c r="V121" s="61">
        <f>V73-V117</f>
        <v/>
      </c>
      <c r="W121" s="61">
        <f>W73-W117</f>
        <v/>
      </c>
      <c r="X121" s="61">
        <f>X73-X117</f>
        <v/>
      </c>
      <c r="Y121" s="61">
        <f>Y73-Y117</f>
        <v/>
      </c>
      <c r="Z121" s="61">
        <f>Z73-Z117</f>
        <v/>
      </c>
      <c r="AA121" s="61">
        <f>AA73-AA117</f>
        <v/>
      </c>
      <c r="AB121" s="61">
        <f>AB73-AB117</f>
        <v/>
      </c>
      <c r="AC121" s="61">
        <f>AC73-AC117</f>
        <v/>
      </c>
      <c r="AD121" s="61">
        <f>AD73-AD117</f>
        <v/>
      </c>
      <c r="AE121" s="61">
        <f>AE73-AE117</f>
        <v/>
      </c>
      <c r="AF121" s="61">
        <f>AF73-AF117</f>
        <v/>
      </c>
      <c r="AG121" s="61">
        <f>AG73-AG117</f>
        <v/>
      </c>
      <c r="AH121" s="61">
        <f>AH73-AH117</f>
        <v/>
      </c>
      <c r="AI121" s="61">
        <f>AI73-AI117</f>
        <v/>
      </c>
      <c r="AJ121" s="61">
        <f>AJ73-AJ117</f>
        <v/>
      </c>
      <c r="AK121" s="61">
        <f>AK73-AK117</f>
        <v/>
      </c>
      <c r="AL121" s="61">
        <f>AL73-AL117</f>
        <v/>
      </c>
      <c r="AM121" s="61">
        <f>AM73-AM117</f>
        <v/>
      </c>
      <c r="AN121" s="61">
        <f>AN73-AN117</f>
        <v/>
      </c>
      <c r="AO121" s="61">
        <f>AO73-AO117</f>
        <v/>
      </c>
      <c r="AP121" s="61">
        <f>AP73-AP117</f>
        <v/>
      </c>
      <c r="AQ121" s="61">
        <f>AQ73-AQ117</f>
        <v/>
      </c>
      <c r="AR121" s="61">
        <f>AR73-AR117</f>
        <v/>
      </c>
      <c r="AS121" s="61">
        <f>AS73-AS117</f>
        <v/>
      </c>
      <c r="AT121" s="61">
        <f>AT73-AT117</f>
        <v/>
      </c>
      <c r="AU121" s="61">
        <f>AU73-AU117</f>
        <v/>
      </c>
      <c r="AV121" s="61">
        <f>AV73-AV117</f>
        <v/>
      </c>
      <c r="AW121" s="61">
        <f>AW73-AW117</f>
        <v/>
      </c>
      <c r="AX121" s="61">
        <f>AX73-AX117</f>
        <v/>
      </c>
      <c r="AY121" s="61">
        <f>AY73-AY117</f>
        <v/>
      </c>
      <c r="AZ121" s="61">
        <f>AZ73-AZ117</f>
        <v/>
      </c>
      <c r="BA121" s="61">
        <f>BA73-BA117</f>
        <v/>
      </c>
      <c r="BB121" s="61">
        <f>BB73-BB117</f>
        <v/>
      </c>
      <c r="BC121" s="61">
        <f>BC73-BC117</f>
        <v/>
      </c>
      <c r="BD121" s="61">
        <f>BD73-BD117</f>
        <v/>
      </c>
      <c r="BE121" s="61">
        <f>BE73-BE117</f>
        <v/>
      </c>
      <c r="BF121" s="61">
        <f>BF73-BF117</f>
        <v/>
      </c>
      <c r="BG121" s="61">
        <f>BG73-BG117</f>
        <v/>
      </c>
      <c r="BH121" s="61">
        <f>BH73-BH117</f>
        <v/>
      </c>
      <c r="BI121" s="61">
        <f>BI73-BI117</f>
        <v/>
      </c>
      <c r="BJ121" s="61">
        <f>BJ73-BJ117</f>
        <v/>
      </c>
      <c r="BK121" s="61">
        <f>BK73-BK117</f>
        <v/>
      </c>
      <c r="BL121" s="61">
        <f>BL73-BL117</f>
        <v/>
      </c>
      <c r="BM121" s="61">
        <f>BM73-BM117</f>
        <v/>
      </c>
      <c r="BN121" s="61">
        <f>BN73-BN117</f>
        <v/>
      </c>
      <c r="BO121" s="61">
        <f>BO73-BO117</f>
        <v/>
      </c>
      <c r="BP121" s="61">
        <f>BP73-BP117</f>
        <v/>
      </c>
      <c r="BQ121" s="61">
        <f>BQ73-BQ117</f>
        <v/>
      </c>
      <c r="BR121" s="31" t="inlineStr">
        <is>
          <t>必须为0。</t>
        </is>
      </c>
    </row>
    <row r="122">
      <c r="A122" s="4" t="inlineStr">
        <is>
          <t>Check</t>
        </is>
      </c>
      <c r="B122" s="7" t="inlineStr">
        <is>
          <t>RE rollforward error</t>
        </is>
      </c>
      <c r="C122" s="4" t="inlineStr">
        <is>
          <t>$000</t>
        </is>
      </c>
      <c r="D122" s="62" t="n">
        <v>0</v>
      </c>
      <c r="E122" s="62">
        <f>E90-(D90+E66)</f>
        <v/>
      </c>
      <c r="F122" s="62">
        <f>F90-(E90+F66)</f>
        <v/>
      </c>
      <c r="G122" s="62">
        <f>G90-(F90+G66)</f>
        <v/>
      </c>
      <c r="H122" s="62">
        <f>H90-(G90+H66)</f>
        <v/>
      </c>
      <c r="I122" s="62">
        <f>I90-(H90+I66)</f>
        <v/>
      </c>
      <c r="J122" s="62">
        <f>J90-(I90+J66)</f>
        <v/>
      </c>
      <c r="K122" s="62">
        <f>K90-(J90+K66)</f>
        <v/>
      </c>
      <c r="L122" s="62">
        <f>L90-(K90+L66)</f>
        <v/>
      </c>
      <c r="M122" s="62">
        <f>M90-(L90+M66)</f>
        <v/>
      </c>
      <c r="N122" s="62">
        <f>N90-(M90+N66)</f>
        <v/>
      </c>
      <c r="O122" s="62">
        <f>O90-(N90+O66)</f>
        <v/>
      </c>
      <c r="P122" s="62">
        <f>P90-(O90+P66)</f>
        <v/>
      </c>
      <c r="R122" s="62" t="n">
        <v>0</v>
      </c>
      <c r="S122" s="62">
        <f>S90-(R90+S66)</f>
        <v/>
      </c>
      <c r="T122" s="62">
        <f>T90-(S90+T66)</f>
        <v/>
      </c>
      <c r="U122" s="62">
        <f>U90-(T90+U66)</f>
        <v/>
      </c>
      <c r="V122" s="62">
        <f>V90-(U90+V66)</f>
        <v/>
      </c>
      <c r="W122" s="62">
        <f>W90-(V90+W66)</f>
        <v/>
      </c>
      <c r="X122" s="62">
        <f>X90-(W90+X66)</f>
        <v/>
      </c>
      <c r="Y122" s="62">
        <f>Y90-(X90+Y66)</f>
        <v/>
      </c>
      <c r="Z122" s="62">
        <f>Z90-(Y90+Z66)</f>
        <v/>
      </c>
      <c r="AA122" s="62">
        <f>AA90-(Z90+AA66)</f>
        <v/>
      </c>
      <c r="AB122" s="62">
        <f>AB90-(AA90+AB66)</f>
        <v/>
      </c>
      <c r="AC122" s="62">
        <f>AC90-(AB90+AC66)</f>
        <v/>
      </c>
      <c r="AD122" s="62">
        <f>AD90-(AC90+AD66)</f>
        <v/>
      </c>
      <c r="AE122" s="62">
        <f>AE90-(AD90+AE66)</f>
        <v/>
      </c>
      <c r="AF122" s="62">
        <f>AF90-(AE90+AF66)</f>
        <v/>
      </c>
      <c r="AG122" s="62">
        <f>AG90-(AF90+AG66)</f>
        <v/>
      </c>
      <c r="AH122" s="62">
        <f>AH90-(AG90+AH66)</f>
        <v/>
      </c>
      <c r="AI122" s="62">
        <f>AI90-(AH90+AI66)</f>
        <v/>
      </c>
      <c r="AJ122" s="62">
        <f>AJ90-(AI90+AJ66)</f>
        <v/>
      </c>
      <c r="AK122" s="62">
        <f>AK90-(AJ90+AK66)</f>
        <v/>
      </c>
      <c r="AL122" s="62">
        <f>AL90-(AK90+AL66)</f>
        <v/>
      </c>
      <c r="AM122" s="62">
        <f>AM90-(AL90+AM66)</f>
        <v/>
      </c>
      <c r="AN122" s="62">
        <f>AN90-(AM90+AN66)</f>
        <v/>
      </c>
      <c r="AO122" s="62">
        <f>AO90-(AN90+AO66)</f>
        <v/>
      </c>
      <c r="AP122" s="62">
        <f>AP90-(AO90+AP66)</f>
        <v/>
      </c>
      <c r="AQ122" s="62">
        <f>AQ90-(AP90+AQ66)</f>
        <v/>
      </c>
      <c r="AR122" s="62">
        <f>AR90-(AQ90+AR66)</f>
        <v/>
      </c>
      <c r="AS122" s="62">
        <f>AS90-(AR90+AS66)</f>
        <v/>
      </c>
      <c r="AT122" s="62">
        <f>AT90-(AS90+AT66)</f>
        <v/>
      </c>
      <c r="AU122" s="62">
        <f>AU90-(AT90+AU66)</f>
        <v/>
      </c>
      <c r="AV122" s="62">
        <f>AV90-(AU90+AV66)</f>
        <v/>
      </c>
      <c r="AW122" s="62">
        <f>AW90-(AV90+AW66)</f>
        <v/>
      </c>
      <c r="AX122" s="62">
        <f>AX90-(AW90+AX66)</f>
        <v/>
      </c>
      <c r="AY122" s="62">
        <f>AY90-(AX90+AY66)</f>
        <v/>
      </c>
      <c r="AZ122" s="62">
        <f>AZ90-(AY90+AZ66)</f>
        <v/>
      </c>
      <c r="BA122" s="62">
        <f>BA90-(AZ90+BA66)</f>
        <v/>
      </c>
      <c r="BB122" s="62">
        <f>BB90-(BA90+BB66)</f>
        <v/>
      </c>
      <c r="BC122" s="62">
        <f>BC90-(BB90+BC66)</f>
        <v/>
      </c>
      <c r="BD122" s="62">
        <f>BD90-(BC90+BD66)</f>
        <v/>
      </c>
      <c r="BE122" s="62">
        <f>BE90-(BD90+BE66)</f>
        <v/>
      </c>
      <c r="BF122" s="62">
        <f>BF90-(BE90+BF66)</f>
        <v/>
      </c>
      <c r="BG122" s="62">
        <f>BG90-(BF90+BG66)</f>
        <v/>
      </c>
      <c r="BH122" s="62">
        <f>BH90-(BG90+BH66)</f>
        <v/>
      </c>
      <c r="BI122" s="62">
        <f>BI90-(BH90+BI66)</f>
        <v/>
      </c>
      <c r="BJ122" s="62">
        <f>BJ90-(BI90+BJ66)</f>
        <v/>
      </c>
      <c r="BK122" s="62">
        <f>BK90-(BJ90+BK66)</f>
        <v/>
      </c>
      <c r="BL122" s="62">
        <f>BL90-(BK90+BL66)</f>
        <v/>
      </c>
      <c r="BM122" s="62">
        <f>BM90-(BL90+BM66)</f>
        <v/>
      </c>
      <c r="BN122" s="62">
        <f>BN90-(BM90+BN66)</f>
        <v/>
      </c>
      <c r="BO122" s="62">
        <f>BO90-(BN90+BO66)</f>
        <v/>
      </c>
      <c r="BP122" s="62">
        <f>BP90-(BO90+BP66)</f>
        <v/>
      </c>
      <c r="BQ122" s="62">
        <f>BQ90-(BP90+BQ66)</f>
        <v/>
      </c>
      <c r="BR122" s="31" t="inlineStr">
        <is>
          <t>期末RE −（期初RE + NI_AXT − 优先股股息）。历史因AOCI重分类/四舍五入可能有小差异；预测必须为0。</t>
        </is>
      </c>
    </row>
    <row r="123">
      <c r="A123" s="4" t="inlineStr">
        <is>
          <t>Check</t>
        </is>
      </c>
      <c r="B123" s="7" t="inlineStr">
        <is>
          <t>Revenue: P&amp;L − Drivers total</t>
        </is>
      </c>
      <c r="C123" s="4" t="inlineStr">
        <is>
          <t>$000</t>
        </is>
      </c>
      <c r="D123" s="61">
        <f>D50-D26</f>
        <v/>
      </c>
      <c r="E123" s="61">
        <f>E50-E26</f>
        <v/>
      </c>
      <c r="F123" s="61">
        <f>F50-F26</f>
        <v/>
      </c>
      <c r="G123" s="61">
        <f>G50-G26</f>
        <v/>
      </c>
      <c r="H123" s="61">
        <f>H50-H26</f>
        <v/>
      </c>
      <c r="I123" s="61">
        <f>I50-I26</f>
        <v/>
      </c>
      <c r="J123" s="61">
        <f>J50-J26</f>
        <v/>
      </c>
      <c r="K123" s="61">
        <f>K50-K26</f>
        <v/>
      </c>
      <c r="L123" s="61">
        <f>L50-L26</f>
        <v/>
      </c>
      <c r="M123" s="61">
        <f>M50-M26</f>
        <v/>
      </c>
      <c r="N123" s="61">
        <f>N50-N26</f>
        <v/>
      </c>
      <c r="O123" s="61">
        <f>O50-O26</f>
        <v/>
      </c>
      <c r="P123" s="61">
        <f>P50-P26</f>
        <v/>
      </c>
      <c r="R123" s="61">
        <f>R50-R26</f>
        <v/>
      </c>
      <c r="S123" s="61">
        <f>S50-S26</f>
        <v/>
      </c>
      <c r="T123" s="61">
        <f>T50-T26</f>
        <v/>
      </c>
      <c r="U123" s="61">
        <f>U50-U26</f>
        <v/>
      </c>
      <c r="V123" s="61">
        <f>V50-V26</f>
        <v/>
      </c>
      <c r="W123" s="61">
        <f>W50-W26</f>
        <v/>
      </c>
      <c r="X123" s="61">
        <f>X50-X26</f>
        <v/>
      </c>
      <c r="Y123" s="61">
        <f>Y50-Y26</f>
        <v/>
      </c>
      <c r="Z123" s="61">
        <f>Z50-Z26</f>
        <v/>
      </c>
      <c r="AA123" s="61">
        <f>AA50-AA26</f>
        <v/>
      </c>
      <c r="AB123" s="61">
        <f>AB50-AB26</f>
        <v/>
      </c>
      <c r="AC123" s="61">
        <f>AC50-AC26</f>
        <v/>
      </c>
      <c r="AD123" s="61">
        <f>AD50-AD26</f>
        <v/>
      </c>
      <c r="AE123" s="61">
        <f>AE50-AE26</f>
        <v/>
      </c>
      <c r="AF123" s="61">
        <f>AF50-AF26</f>
        <v/>
      </c>
      <c r="AG123" s="61">
        <f>AG50-AG26</f>
        <v/>
      </c>
      <c r="AH123" s="61">
        <f>AH50-AH26</f>
        <v/>
      </c>
      <c r="AI123" s="61">
        <f>AI50-AI26</f>
        <v/>
      </c>
      <c r="AJ123" s="61">
        <f>AJ50-AJ26</f>
        <v/>
      </c>
      <c r="AK123" s="61">
        <f>AK50-AK26</f>
        <v/>
      </c>
      <c r="AL123" s="61">
        <f>AL50-AL26</f>
        <v/>
      </c>
      <c r="AM123" s="61">
        <f>AM50-AM26</f>
        <v/>
      </c>
      <c r="AN123" s="61">
        <f>AN50-AN26</f>
        <v/>
      </c>
      <c r="AO123" s="61">
        <f>AO50-AO26</f>
        <v/>
      </c>
      <c r="AP123" s="61">
        <f>AP50-AP26</f>
        <v/>
      </c>
      <c r="AQ123" s="61">
        <f>AQ50-AQ26</f>
        <v/>
      </c>
      <c r="AR123" s="61">
        <f>AR50-AR26</f>
        <v/>
      </c>
      <c r="AS123" s="61">
        <f>AS50-AS26</f>
        <v/>
      </c>
      <c r="AT123" s="61">
        <f>AT50-AT26</f>
        <v/>
      </c>
      <c r="AU123" s="61">
        <f>AU50-AU26</f>
        <v/>
      </c>
      <c r="AV123" s="61">
        <f>AV50-AV26</f>
        <v/>
      </c>
      <c r="AW123" s="61">
        <f>AW50-AW26</f>
        <v/>
      </c>
      <c r="AX123" s="61">
        <f>AX50-AX26</f>
        <v/>
      </c>
      <c r="AY123" s="61">
        <f>AY50-AY26</f>
        <v/>
      </c>
      <c r="AZ123" s="61">
        <f>AZ50-AZ26</f>
        <v/>
      </c>
      <c r="BA123" s="61">
        <f>BA50-BA26</f>
        <v/>
      </c>
      <c r="BB123" s="61">
        <f>BB50-BB26</f>
        <v/>
      </c>
      <c r="BC123" s="61">
        <f>BC50-BC26</f>
        <v/>
      </c>
      <c r="BD123" s="61">
        <f>BD50-BD26</f>
        <v/>
      </c>
      <c r="BE123" s="61">
        <f>BE50-BE26</f>
        <v/>
      </c>
      <c r="BF123" s="61">
        <f>BF50-BF26</f>
        <v/>
      </c>
      <c r="BG123" s="61">
        <f>BG50-BG26</f>
        <v/>
      </c>
      <c r="BH123" s="61">
        <f>BH50-BH26</f>
        <v/>
      </c>
      <c r="BI123" s="61">
        <f>BI50-BI26</f>
        <v/>
      </c>
      <c r="BJ123" s="61">
        <f>BJ50-BJ26</f>
        <v/>
      </c>
      <c r="BK123" s="61">
        <f>BK50-BK26</f>
        <v/>
      </c>
      <c r="BL123" s="61">
        <f>BL50-BL26</f>
        <v/>
      </c>
      <c r="BM123" s="61">
        <f>BM50-BM26</f>
        <v/>
      </c>
      <c r="BN123" s="61">
        <f>BN50-BN26</f>
        <v/>
      </c>
      <c r="BO123" s="61">
        <f>BO50-BO26</f>
        <v/>
      </c>
      <c r="BP123" s="61">
        <f>BP50-BP26</f>
        <v/>
      </c>
      <c r="BQ123" s="61">
        <f>BQ50-BQ26</f>
        <v/>
      </c>
      <c r="BR123" s="31" t="inlineStr">
        <is>
          <t>收入驱动必须钉住P&amp;L。</t>
        </is>
      </c>
    </row>
    <row r="124">
      <c r="A124" s="4" t="inlineStr">
        <is>
          <t>Check</t>
        </is>
      </c>
      <c r="B124" s="7" t="inlineStr">
        <is>
          <t>NI: P&amp;L NI_AXT vs reported/implied</t>
        </is>
      </c>
      <c r="C124" s="4" t="inlineStr">
        <is>
          <t>$000</t>
        </is>
      </c>
      <c r="D124" s="62">
        <f>D66-5636</f>
        <v/>
      </c>
      <c r="E124" s="62">
        <f>E66-10148</f>
        <v/>
      </c>
      <c r="F124" s="62">
        <f>F66-9654</f>
        <v/>
      </c>
      <c r="G124" s="62">
        <f>G66--2600</f>
        <v/>
      </c>
      <c r="H124" s="62">
        <f>H66-3238</f>
        <v/>
      </c>
      <c r="I124" s="62">
        <f>I66-14575</f>
        <v/>
      </c>
      <c r="J124" s="62">
        <f>J66-15811</f>
        <v/>
      </c>
      <c r="K124" s="62">
        <f>K66--17881</f>
        <v/>
      </c>
      <c r="L124" s="62">
        <f>L66--11624</f>
        <v/>
      </c>
      <c r="M124" s="62">
        <f>M66--21260</f>
        <v/>
      </c>
      <c r="N124" s="62" t="n">
        <v>0</v>
      </c>
      <c r="O124" s="62" t="n">
        <v>0</v>
      </c>
      <c r="P124" s="62" t="n">
        <v>0</v>
      </c>
      <c r="R124" s="62">
        <f>R66-R64+R65</f>
        <v/>
      </c>
      <c r="S124" s="62">
        <f>S66-S64+S65</f>
        <v/>
      </c>
      <c r="T124" s="62">
        <f>T66-T64+T65</f>
        <v/>
      </c>
      <c r="U124" s="62">
        <f>U66-U64+U65</f>
        <v/>
      </c>
      <c r="V124" s="62">
        <f>V66-V64+V65</f>
        <v/>
      </c>
      <c r="W124" s="62">
        <f>W66-W64+W65</f>
        <v/>
      </c>
      <c r="X124" s="62">
        <f>X66-X64+X65</f>
        <v/>
      </c>
      <c r="Y124" s="62">
        <f>Y66-Y64+Y65</f>
        <v/>
      </c>
      <c r="Z124" s="62">
        <f>Z66-Z64+Z65</f>
        <v/>
      </c>
      <c r="AA124" s="62">
        <f>AA66-AA64+AA65</f>
        <v/>
      </c>
      <c r="AB124" s="62">
        <f>AB66-AB64+AB65</f>
        <v/>
      </c>
      <c r="AC124" s="62">
        <f>AC66-AC64+AC65</f>
        <v/>
      </c>
      <c r="AD124" s="62">
        <f>AD66-AD64+AD65</f>
        <v/>
      </c>
      <c r="AE124" s="62">
        <f>AE66-AE64+AE65</f>
        <v/>
      </c>
      <c r="AF124" s="62">
        <f>AF66-AF64+AF65</f>
        <v/>
      </c>
      <c r="AG124" s="62">
        <f>AG66-AG64+AG65</f>
        <v/>
      </c>
      <c r="AH124" s="62">
        <f>AH66-AH64+AH65</f>
        <v/>
      </c>
      <c r="AI124" s="62">
        <f>AI66-AI64+AI65</f>
        <v/>
      </c>
      <c r="AJ124" s="62">
        <f>AJ66-AJ64+AJ65</f>
        <v/>
      </c>
      <c r="AK124" s="62">
        <f>AK66-AK64+AK65</f>
        <v/>
      </c>
      <c r="AL124" s="62">
        <f>AL66-AL64+AL65</f>
        <v/>
      </c>
      <c r="AM124" s="62">
        <f>AM66-AM64+AM65</f>
        <v/>
      </c>
      <c r="AN124" s="62">
        <f>AN66-AN64+AN65</f>
        <v/>
      </c>
      <c r="AO124" s="62">
        <f>AO66-AO64+AO65</f>
        <v/>
      </c>
      <c r="AP124" s="62">
        <f>AP66-AP64+AP65</f>
        <v/>
      </c>
      <c r="AQ124" s="62">
        <f>AQ66-AQ64+AQ65</f>
        <v/>
      </c>
      <c r="AR124" s="62">
        <f>AR66-AR64+AR65</f>
        <v/>
      </c>
      <c r="AS124" s="62">
        <f>AS66-AS64+AS65</f>
        <v/>
      </c>
      <c r="AT124" s="62">
        <f>AT66-AT64+AT65</f>
        <v/>
      </c>
      <c r="AU124" s="62">
        <f>AU66-AU64+AU65</f>
        <v/>
      </c>
      <c r="AV124" s="62">
        <f>AV66-AV64+AV65</f>
        <v/>
      </c>
      <c r="AW124" s="62">
        <f>AW66-AW64+AW65</f>
        <v/>
      </c>
      <c r="AX124" s="62">
        <f>AX66-AX64+AX65</f>
        <v/>
      </c>
      <c r="AY124" s="62">
        <f>AY66-AY64+AY65</f>
        <v/>
      </c>
      <c r="AZ124" s="62">
        <f>AZ66-AZ64+AZ65</f>
        <v/>
      </c>
      <c r="BA124" s="62">
        <f>BA66-BA64+BA65</f>
        <v/>
      </c>
      <c r="BB124" s="62">
        <f>BB66-BB64+BB65</f>
        <v/>
      </c>
      <c r="BC124" s="62">
        <f>BC66-BC64+BC65</f>
        <v/>
      </c>
      <c r="BD124" s="62">
        <f>BD66-BD64+BD65</f>
        <v/>
      </c>
      <c r="BE124" s="62">
        <f>BE66-BE64+BE65</f>
        <v/>
      </c>
      <c r="BF124" s="62">
        <f>BF66-BF64+BF65</f>
        <v/>
      </c>
      <c r="BG124" s="62">
        <f>BG66-BG64+BG65</f>
        <v/>
      </c>
      <c r="BH124" s="62">
        <f>BH66-BH64+BH65</f>
        <v/>
      </c>
      <c r="BI124" s="62">
        <f>BI66-BI64+BI65</f>
        <v/>
      </c>
      <c r="BJ124" s="62">
        <f>BJ66-BJ64+BJ65</f>
        <v/>
      </c>
      <c r="BK124" s="62">
        <f>BK66-BK64+BK65</f>
        <v/>
      </c>
      <c r="BL124" s="62">
        <f>BL66-BL64+BL65</f>
        <v/>
      </c>
      <c r="BM124" s="62">
        <f>BM66-BM64+BM65</f>
        <v/>
      </c>
      <c r="BN124" s="62">
        <f>BN66-BN64+BN65</f>
        <v/>
      </c>
      <c r="BO124" s="62">
        <f>BO66-BO64+BO65</f>
        <v/>
      </c>
      <c r="BP124" s="62">
        <f>BP66-BP64+BP65</f>
        <v/>
      </c>
      <c r="BQ124" s="62">
        <f>BQ66-BQ64+BQ65</f>
        <v/>
      </c>
      <c r="BR124" s="31" t="inlineStr">
        <is>
          <t>历史对照10-K归属AXT净利润。</t>
        </is>
      </c>
    </row>
    <row r="125">
      <c r="A125" s="4" t="inlineStr">
        <is>
          <t>Check</t>
        </is>
      </c>
      <c r="B125" s="7" t="inlineStr">
        <is>
          <t>CFS identity: CFO+CFI+CFF+FX − ΔCash</t>
        </is>
      </c>
      <c r="C125" s="4" t="inlineStr">
        <is>
          <t>$000</t>
        </is>
      </c>
      <c r="D125" s="61">
        <f>D106+D109+D113+D114-D115</f>
        <v/>
      </c>
      <c r="E125" s="61">
        <f>E106+E109+E113+E114-E115</f>
        <v/>
      </c>
      <c r="F125" s="61">
        <f>F106+F109+F113+F114-F115</f>
        <v/>
      </c>
      <c r="G125" s="61">
        <f>G106+G109+G113+G114-G115</f>
        <v/>
      </c>
      <c r="H125" s="61">
        <f>H106+H109+H113+H114-H115</f>
        <v/>
      </c>
      <c r="I125" s="61">
        <f>I106+I109+I113+I114-I115</f>
        <v/>
      </c>
      <c r="J125" s="61">
        <f>J106+J109+J113+J114-J115</f>
        <v/>
      </c>
      <c r="K125" s="61">
        <f>K106+K109+K113+K114-K115</f>
        <v/>
      </c>
      <c r="L125" s="61">
        <f>L106+L109+L113+L114-L115</f>
        <v/>
      </c>
      <c r="M125" s="61">
        <f>M106+M109+M113+M114-M115</f>
        <v/>
      </c>
      <c r="N125" s="61">
        <f>N106+N109+N113+N114-N115</f>
        <v/>
      </c>
      <c r="O125" s="61">
        <f>O106+O109+O113+O114-O115</f>
        <v/>
      </c>
      <c r="P125" s="61">
        <f>P106+P109+P113+P114-P115</f>
        <v/>
      </c>
      <c r="R125" s="61">
        <f>R106+R109+R113+R114-R115</f>
        <v/>
      </c>
      <c r="S125" s="61">
        <f>S106+S109+S113+S114-S115</f>
        <v/>
      </c>
      <c r="T125" s="61">
        <f>T106+T109+T113+T114-T115</f>
        <v/>
      </c>
      <c r="U125" s="61">
        <f>U106+U109+U113+U114-U115</f>
        <v/>
      </c>
      <c r="V125" s="61">
        <f>V106+V109+V113+V114-V115</f>
        <v/>
      </c>
      <c r="W125" s="61">
        <f>W106+W109+W113+W114-W115</f>
        <v/>
      </c>
      <c r="X125" s="61">
        <f>X106+X109+X113+X114-X115</f>
        <v/>
      </c>
      <c r="Y125" s="61">
        <f>Y106+Y109+Y113+Y114-Y115</f>
        <v/>
      </c>
      <c r="Z125" s="61">
        <f>Z106+Z109+Z113+Z114-Z115</f>
        <v/>
      </c>
      <c r="AA125" s="61">
        <f>AA106+AA109+AA113+AA114-AA115</f>
        <v/>
      </c>
      <c r="AB125" s="61">
        <f>AB106+AB109+AB113+AB114-AB115</f>
        <v/>
      </c>
      <c r="AC125" s="61">
        <f>AC106+AC109+AC113+AC114-AC115</f>
        <v/>
      </c>
      <c r="AD125" s="61">
        <f>AD106+AD109+AD113+AD114-AD115</f>
        <v/>
      </c>
      <c r="AE125" s="61">
        <f>AE106+AE109+AE113+AE114-AE115</f>
        <v/>
      </c>
      <c r="AF125" s="61">
        <f>AF106+AF109+AF113+AF114-AF115</f>
        <v/>
      </c>
      <c r="AG125" s="61">
        <f>AG106+AG109+AG113+AG114-AG115</f>
        <v/>
      </c>
      <c r="AH125" s="61">
        <f>AH106+AH109+AH113+AH114-AH115</f>
        <v/>
      </c>
      <c r="AI125" s="61">
        <f>AI106+AI109+AI113+AI114-AI115</f>
        <v/>
      </c>
      <c r="AJ125" s="61">
        <f>AJ106+AJ109+AJ113+AJ114-AJ115</f>
        <v/>
      </c>
      <c r="AK125" s="61">
        <f>AK106+AK109+AK113+AK114-AK115</f>
        <v/>
      </c>
      <c r="AL125" s="61">
        <f>AL106+AL109+AL113+AL114-AL115</f>
        <v/>
      </c>
      <c r="AM125" s="61">
        <f>AM106+AM109+AM113+AM114-AM115</f>
        <v/>
      </c>
      <c r="AN125" s="61">
        <f>AN106+AN109+AN113+AN114-AN115</f>
        <v/>
      </c>
      <c r="AO125" s="61">
        <f>AO106+AO109+AO113+AO114-AO115</f>
        <v/>
      </c>
      <c r="AP125" s="61">
        <f>AP106+AP109+AP113+AP114-AP115</f>
        <v/>
      </c>
      <c r="AQ125" s="61">
        <f>AQ106+AQ109+AQ113+AQ114-AQ115</f>
        <v/>
      </c>
      <c r="AR125" s="61">
        <f>AR106+AR109+AR113+AR114-AR115</f>
        <v/>
      </c>
      <c r="AS125" s="61">
        <f>AS106+AS109+AS113+AS114-AS115</f>
        <v/>
      </c>
      <c r="AT125" s="61">
        <f>AT106+AT109+AT113+AT114-AT115</f>
        <v/>
      </c>
      <c r="AU125" s="61">
        <f>AU106+AU109+AU113+AU114-AU115</f>
        <v/>
      </c>
      <c r="AV125" s="61">
        <f>AV106+AV109+AV113+AV114-AV115</f>
        <v/>
      </c>
      <c r="AW125" s="61">
        <f>AW106+AW109+AW113+AW114-AW115</f>
        <v/>
      </c>
      <c r="AX125" s="61">
        <f>AX106+AX109+AX113+AX114-AX115</f>
        <v/>
      </c>
      <c r="AY125" s="61">
        <f>AY106+AY109+AY113+AY114-AY115</f>
        <v/>
      </c>
      <c r="AZ125" s="61">
        <f>AZ106+AZ109+AZ113+AZ114-AZ115</f>
        <v/>
      </c>
      <c r="BA125" s="61">
        <f>BA106+BA109+BA113+BA114-BA115</f>
        <v/>
      </c>
      <c r="BB125" s="61">
        <f>BB106+BB109+BB113+BB114-BB115</f>
        <v/>
      </c>
      <c r="BC125" s="61">
        <f>BC106+BC109+BC113+BC114-BC115</f>
        <v/>
      </c>
      <c r="BD125" s="61">
        <f>BD106+BD109+BD113+BD114-BD115</f>
        <v/>
      </c>
      <c r="BE125" s="61">
        <f>BE106+BE109+BE113+BE114-BE115</f>
        <v/>
      </c>
      <c r="BF125" s="61">
        <f>BF106+BF109+BF113+BF114-BF115</f>
        <v/>
      </c>
      <c r="BG125" s="61">
        <f>BG106+BG109+BG113+BG114-BG115</f>
        <v/>
      </c>
      <c r="BH125" s="61">
        <f>BH106+BH109+BH113+BH114-BH115</f>
        <v/>
      </c>
      <c r="BI125" s="61">
        <f>BI106+BI109+BI113+BI114-BI115</f>
        <v/>
      </c>
      <c r="BJ125" s="61">
        <f>BJ106+BJ109+BJ113+BJ114-BJ115</f>
        <v/>
      </c>
      <c r="BK125" s="61">
        <f>BK106+BK109+BK113+BK114-BK115</f>
        <v/>
      </c>
      <c r="BL125" s="61">
        <f>BL106+BL109+BL113+BL114-BL115</f>
        <v/>
      </c>
      <c r="BM125" s="61">
        <f>BM106+BM109+BM113+BM114-BM115</f>
        <v/>
      </c>
      <c r="BN125" s="61">
        <f>BN106+BN109+BN113+BN114-BN115</f>
        <v/>
      </c>
      <c r="BO125" s="61">
        <f>BO106+BO109+BO113+BO114-BO115</f>
        <v/>
      </c>
      <c r="BP125" s="61">
        <f>BP106+BP109+BP113+BP114-BP115</f>
        <v/>
      </c>
      <c r="BQ125" s="61">
        <f>BQ106+BQ109+BQ113+BQ114-BQ115</f>
        <v/>
      </c>
      <c r="BR125" s="31" t="inlineStr">
        <is>
          <t>必须为0。</t>
        </is>
      </c>
    </row>
    <row r="126">
      <c r="A126" s="4" t="inlineStr">
        <is>
          <t>Check</t>
        </is>
      </c>
      <c r="B126" s="7" t="inlineStr">
        <is>
          <t>Annual revenue − sum of 4 quarters</t>
        </is>
      </c>
      <c r="C126" s="4" t="inlineStr">
        <is>
          <t>$000</t>
        </is>
      </c>
      <c r="D126" s="61">
        <f>D50-(R50+S50+T50+U50)</f>
        <v/>
      </c>
      <c r="E126" s="61">
        <f>E50-(V50+W50+X50+Y50)</f>
        <v/>
      </c>
      <c r="F126" s="61">
        <f>F50-(Z50+AA50+AB50+AC50)</f>
        <v/>
      </c>
      <c r="G126" s="61">
        <f>G50-(AD50+AE50+AF50+AG50)</f>
        <v/>
      </c>
      <c r="H126" s="61">
        <f>H50-(AH50+AI50+AJ50+AK50)</f>
        <v/>
      </c>
      <c r="I126" s="61">
        <f>I50-(AL50+AM50+AN50+AO50)</f>
        <v/>
      </c>
      <c r="J126" s="61">
        <f>J50-(AP50+AQ50+AR50+AS50)</f>
        <v/>
      </c>
      <c r="K126" s="61">
        <f>K50-(AT50+AU50+AV50+AW50)</f>
        <v/>
      </c>
      <c r="L126" s="61">
        <f>L50-(AX50+AY50+AZ50+BA50)</f>
        <v/>
      </c>
      <c r="M126" s="61">
        <f>M50-(BB50+BC50+BD50+BE50)</f>
        <v/>
      </c>
      <c r="N126" s="61">
        <f>N50-(BF50+BG50+BH50+BI50)</f>
        <v/>
      </c>
      <c r="O126" s="61">
        <f>O50-(BJ50+BK50+BL50+BM50)</f>
        <v/>
      </c>
      <c r="P126" s="61">
        <f>P50-(BN50+BO50+BP50+BQ50)</f>
        <v/>
      </c>
      <c r="R126" s="62" t="n">
        <v>0</v>
      </c>
      <c r="S126" s="62" t="n">
        <v>0</v>
      </c>
      <c r="T126" s="62" t="n">
        <v>0</v>
      </c>
      <c r="U126" s="62" t="n">
        <v>0</v>
      </c>
      <c r="V126" s="62" t="n">
        <v>0</v>
      </c>
      <c r="W126" s="62" t="n">
        <v>0</v>
      </c>
      <c r="X126" s="62" t="n">
        <v>0</v>
      </c>
      <c r="Y126" s="62" t="n">
        <v>0</v>
      </c>
      <c r="Z126" s="62" t="n">
        <v>0</v>
      </c>
      <c r="AA126" s="62" t="n">
        <v>0</v>
      </c>
      <c r="AB126" s="62" t="n">
        <v>0</v>
      </c>
      <c r="AC126" s="62" t="n">
        <v>0</v>
      </c>
      <c r="AD126" s="62" t="n">
        <v>0</v>
      </c>
      <c r="AE126" s="62" t="n">
        <v>0</v>
      </c>
      <c r="AF126" s="62" t="n">
        <v>0</v>
      </c>
      <c r="AG126" s="62" t="n">
        <v>0</v>
      </c>
      <c r="AH126" s="62" t="n">
        <v>0</v>
      </c>
      <c r="AI126" s="62" t="n">
        <v>0</v>
      </c>
      <c r="AJ126" s="62" t="n">
        <v>0</v>
      </c>
      <c r="AK126" s="62" t="n">
        <v>0</v>
      </c>
      <c r="AL126" s="62" t="n">
        <v>0</v>
      </c>
      <c r="AM126" s="62" t="n">
        <v>0</v>
      </c>
      <c r="AN126" s="62" t="n">
        <v>0</v>
      </c>
      <c r="AO126" s="62" t="n">
        <v>0</v>
      </c>
      <c r="AP126" s="62" t="n">
        <v>0</v>
      </c>
      <c r="AQ126" s="62" t="n">
        <v>0</v>
      </c>
      <c r="AR126" s="62" t="n">
        <v>0</v>
      </c>
      <c r="AS126" s="62" t="n">
        <v>0</v>
      </c>
      <c r="AT126" s="62" t="n">
        <v>0</v>
      </c>
      <c r="AU126" s="62" t="n">
        <v>0</v>
      </c>
      <c r="AV126" s="62" t="n">
        <v>0</v>
      </c>
      <c r="AW126" s="62" t="n">
        <v>0</v>
      </c>
      <c r="AX126" s="62" t="n">
        <v>0</v>
      </c>
      <c r="AY126" s="62" t="n">
        <v>0</v>
      </c>
      <c r="AZ126" s="62" t="n">
        <v>0</v>
      </c>
      <c r="BA126" s="62" t="n">
        <v>0</v>
      </c>
      <c r="BB126" s="62" t="n">
        <v>0</v>
      </c>
      <c r="BC126" s="62" t="n">
        <v>0</v>
      </c>
      <c r="BD126" s="62" t="n">
        <v>0</v>
      </c>
      <c r="BE126" s="62" t="n">
        <v>0</v>
      </c>
      <c r="BF126" s="62" t="n">
        <v>0</v>
      </c>
      <c r="BG126" s="62" t="n">
        <v>0</v>
      </c>
      <c r="BH126" s="62" t="n">
        <v>0</v>
      </c>
      <c r="BI126" s="62" t="n">
        <v>0</v>
      </c>
      <c r="BJ126" s="62" t="n">
        <v>0</v>
      </c>
      <c r="BK126" s="62" t="n">
        <v>0</v>
      </c>
      <c r="BL126" s="62" t="n">
        <v>0</v>
      </c>
      <c r="BM126" s="62" t="n">
        <v>0</v>
      </c>
      <c r="BN126" s="62" t="n">
        <v>0</v>
      </c>
      <c r="BO126" s="62" t="n">
        <v>0</v>
      </c>
      <c r="BP126" s="62" t="n">
        <v>0</v>
      </c>
      <c r="BQ126" s="62" t="n">
        <v>0</v>
      </c>
      <c r="BR126" s="31" t="inlineStr">
        <is>
          <t>年度应对齐四季之和（预测年为公式勾稽；历史允许四舍五入）。</t>
        </is>
      </c>
    </row>
    <row r="128">
      <c r="A128" s="5" t="inlineStr">
        <is>
          <t>免责声明 / Disclaimer</t>
        </is>
      </c>
    </row>
    <row r="129">
      <c r="A129" s="63" t="inlineStr">
        <is>
          <t>本模型仅供投资研究讨论，不构成投资建议。历史数据来自SEC申报（XBRL/10-K/10-Q）及公司电话会；InP出货量、ASP、单片COGS在公司未披露情况下为分析师估计，预测基于管理层产能指引（2026 InP产能翻倍、2027再翻倍）、AI数据中心光连接需求及出口许可正常化假设。实际结果可能因许可、客户认证、6"良率、竞争（住友电工等）及宏观而显著偏离。</t>
        </is>
      </c>
    </row>
    <row r="130"/>
    <row r="131"/>
  </sheetData>
  <mergeCells count="11">
    <mergeCell ref="A3:H3"/>
    <mergeCell ref="A13:C13"/>
    <mergeCell ref="A49:C49"/>
    <mergeCell ref="A2:H2"/>
    <mergeCell ref="BR7:BR11"/>
    <mergeCell ref="A119:C119"/>
    <mergeCell ref="A129:H131"/>
    <mergeCell ref="A30:C30"/>
    <mergeCell ref="A1:H1"/>
    <mergeCell ref="A96:C96"/>
    <mergeCell ref="A72:C72"/>
  </mergeCells>
  <conditionalFormatting sqref="D120:BQ120">
    <cfRule type="cellIs" priority="1" operator="notBetween" dxfId="0">
      <formula>-2</formula>
      <formula>2</formula>
    </cfRule>
    <cfRule type="cellIs" priority="2" operator="between" dxfId="1">
      <formula>-2</formula>
      <formula>2</formula>
    </cfRule>
  </conditionalFormatting>
  <conditionalFormatting sqref="D121:BQ121">
    <cfRule type="cellIs" priority="3" operator="notBetween" dxfId="0">
      <formula>-2</formula>
      <formula>2</formula>
    </cfRule>
    <cfRule type="cellIs" priority="4" operator="between" dxfId="1">
      <formula>-2</formula>
      <formula>2</formula>
    </cfRule>
  </conditionalFormatting>
  <conditionalFormatting sqref="D123:BQ123">
    <cfRule type="cellIs" priority="5" operator="notBetween" dxfId="0">
      <formula>-2</formula>
      <formula>2</formula>
    </cfRule>
    <cfRule type="cellIs" priority="6" operator="between" dxfId="1">
      <formula>-2</formula>
      <formula>2</formula>
    </cfRule>
  </conditionalFormatting>
  <conditionalFormatting sqref="D125:BQ125">
    <cfRule type="cellIs" priority="7" operator="notBetween" dxfId="0">
      <formula>-2</formula>
      <formula>2</formula>
    </cfRule>
    <cfRule type="cellIs" priority="8" operator="between" dxfId="1">
      <formula>-2</formula>
      <formula>2</formula>
    </cfRule>
  </conditionalFormatting>
  <pageMargins left="0.75" right="0.75" top="1" bottom="1" header="0.5" footer="0.5"/>
  <pageSetup orientation="landscape" paperSize="3" fitToHeight="0" fitToWidth="1"/>
  <headerFooter>
    <oddHeader>&amp;LAXTI 3-Statement Model</oddHeader>
    <oddFooter>&amp;LAXT, Inc. (AXTI) | Hedge-fund style operating model | Not investment advice&amp;RBlue = input / Black = formula  | 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2026-08-18T08:06:34Z</dcterms:created>
  <dcterms:modified xsi:type="dcterms:W3CDTF">2026-08-18T08:06:34Z</dcterms:modified>
</cp:coreProperties>
</file>