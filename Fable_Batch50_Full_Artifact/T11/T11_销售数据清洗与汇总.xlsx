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i val="1"/>
      <color rgb="00595959"/>
    </font>
    <font>
      <b val="1"/>
    </font>
    <font>
      <name val="Microsoft YaHei"/>
      <b val="1"/>
      <color rgb="001F3864"/>
      <sz val="13"/>
    </font>
    <font>
      <i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0" pivotButton="0" quotePrefix="0" xfId="0"/>
    <xf numFmtId="0" fontId="2" fillId="0" borderId="0" applyAlignment="1" pivotButton="0" quotePrefix="0" xfId="0">
      <alignment/>
    </xf>
    <xf numFmtId="0" fontId="1" fillId="2" borderId="0" pivotButton="0" quotePrefix="0" xfId="0"/>
    <xf numFmtId="0" fontId="0" fillId="4" borderId="1" pivotButton="0" quotePrefix="0" xfId="0"/>
    <xf numFmtId="164" fontId="0" fillId="3" borderId="1" pivotButton="0" quotePrefix="0" xfId="0"/>
    <xf numFmtId="0" fontId="0" fillId="0" borderId="1" pivotButton="0" quotePrefix="0" xfId="0"/>
    <xf numFmtId="0" fontId="0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4" fillId="0" borderId="0" pivotButton="0" quotePrefix="0" xfId="0"/>
    <xf numFmtId="3" fontId="0" fillId="4" borderId="1" pivotButton="0" quotePrefix="0" xfId="0"/>
    <xf numFmtId="165" fontId="0" fillId="4" borderId="1" pivotButton="0" quotePrefix="0" xfId="0"/>
    <xf numFmtId="3" fontId="3" fillId="4" borderId="0" pivotButton="0" quotePrefix="0" xfId="0"/>
    <xf numFmtId="165" fontId="3" fillId="4" borderId="0" pivotButton="0" quotePrefix="0" xfId="0"/>
    <xf numFmtId="3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'Summary'!$A$3:$A$7</f>
            </numRef>
          </cat>
          <val>
            <numRef>
              <f>'Summary'!$B$3:$B$7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8" customWidth="1" min="3" max="3"/>
    <col width="11" customWidth="1" min="4" max="4"/>
    <col width="9" customWidth="1" min="5" max="5"/>
    <col width="8" customWidth="1" min="6" max="6"/>
    <col width="12" customWidth="1" min="7" max="7"/>
    <col width="11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Rep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Unit_Price</t>
        </is>
      </c>
      <c r="H1" s="1" t="inlineStr">
        <is>
          <t>Status</t>
        </is>
      </c>
      <c r="I1" s="1" t="inlineStr">
        <is>
          <t>Dup_Key</t>
        </is>
      </c>
      <c r="J1" s="1" t="inlineStr">
        <is>
          <t>Dup_Count</t>
        </is>
      </c>
      <c r="K1" s="1" t="inlineStr">
        <is>
          <t>Keep_Flag</t>
        </is>
      </c>
    </row>
    <row r="2">
      <c r="A2" s="2" t="n">
        <v>1001</v>
      </c>
      <c r="B2" s="2" t="inlineStr">
        <is>
          <t>2026-07-01</t>
        </is>
      </c>
      <c r="C2" s="2" t="inlineStr">
        <is>
          <t>North</t>
        </is>
      </c>
      <c r="D2" s="2" t="inlineStr">
        <is>
          <t>A. Chen</t>
        </is>
      </c>
      <c r="E2" s="2" t="inlineStr">
        <is>
          <t>Alpha</t>
        </is>
      </c>
      <c r="F2" s="2" t="n">
        <v>10</v>
      </c>
      <c r="G2" s="2" t="n">
        <v>120</v>
      </c>
      <c r="H2" s="2" t="inlineStr">
        <is>
          <t>Completed</t>
        </is>
      </c>
      <c r="I2" s="3">
        <f>A2&amp;"|"&amp;B2&amp;"|"&amp;C2&amp;"|"&amp;D2&amp;"|"&amp;E2&amp;"|"&amp;F2&amp;"|"&amp;G2&amp;"|"&amp;H2</f>
        <v/>
      </c>
      <c r="J2" s="3">
        <f>COUNTIF($I$2:$I$16,I2)</f>
        <v/>
      </c>
      <c r="K2" s="3">
        <f>IF(COUNTIF($I$2:I2,I2)=1,"Keep","Drop-exact duplicate")</f>
        <v/>
      </c>
    </row>
    <row r="3">
      <c r="A3" s="2" t="n">
        <v>1002</v>
      </c>
      <c r="B3" s="2" t="inlineStr">
        <is>
          <t>7/1/2026</t>
        </is>
      </c>
      <c r="C3" s="2" t="inlineStr">
        <is>
          <t>north</t>
        </is>
      </c>
      <c r="D3" s="2" t="inlineStr">
        <is>
          <t>Alex Chen</t>
        </is>
      </c>
      <c r="E3" s="2" t="inlineStr">
        <is>
          <t>Beta</t>
        </is>
      </c>
      <c r="F3" s="2" t="n">
        <v>5</v>
      </c>
      <c r="G3" s="2" t="n">
        <v>200</v>
      </c>
      <c r="H3" s="2" t="inlineStr">
        <is>
          <t>Completed</t>
        </is>
      </c>
      <c r="I3" s="3">
        <f>A3&amp;"|"&amp;B3&amp;"|"&amp;C3&amp;"|"&amp;D3&amp;"|"&amp;E3&amp;"|"&amp;F3&amp;"|"&amp;G3&amp;"|"&amp;H3</f>
        <v/>
      </c>
      <c r="J3" s="3">
        <f>COUNTIF($I$2:$I$16,I3)</f>
        <v/>
      </c>
      <c r="K3" s="3">
        <f>IF(COUNTIF($I$2:I3,I3)=1,"Keep","Drop-exact duplicate")</f>
        <v/>
      </c>
    </row>
    <row r="4">
      <c r="A4" s="2" t="n">
        <v>1003</v>
      </c>
      <c r="B4" s="2" t="inlineStr">
        <is>
          <t>2026/07/02</t>
        </is>
      </c>
      <c r="C4" s="2" t="inlineStr">
        <is>
          <t>SOUTH</t>
        </is>
      </c>
      <c r="D4" s="2" t="inlineStr">
        <is>
          <t>Maria Li</t>
        </is>
      </c>
      <c r="E4" s="2" t="inlineStr">
        <is>
          <t>Alpha</t>
        </is>
      </c>
      <c r="F4" s="2" t="n">
        <v>8</v>
      </c>
      <c r="G4" s="2" t="n">
        <v>120</v>
      </c>
      <c r="H4" s="2" t="inlineStr">
        <is>
          <t>Completed</t>
        </is>
      </c>
      <c r="I4" s="3">
        <f>A4&amp;"|"&amp;B4&amp;"|"&amp;C4&amp;"|"&amp;D4&amp;"|"&amp;E4&amp;"|"&amp;F4&amp;"|"&amp;G4&amp;"|"&amp;H4</f>
        <v/>
      </c>
      <c r="J4" s="3">
        <f>COUNTIF($I$2:$I$16,I4)</f>
        <v/>
      </c>
      <c r="K4" s="3">
        <f>IF(COUNTIF($I$2:I4,I4)=1,"Keep","Drop-exact duplicate")</f>
        <v/>
      </c>
    </row>
    <row r="5">
      <c r="A5" s="2" t="n">
        <v>1004</v>
      </c>
      <c r="B5" s="2" t="inlineStr">
        <is>
          <t>02-Jul-2026</t>
        </is>
      </c>
      <c r="C5" s="2" t="inlineStr">
        <is>
          <t>South</t>
        </is>
      </c>
      <c r="D5" s="2" t="inlineStr">
        <is>
          <t>Maria Li</t>
        </is>
      </c>
      <c r="E5" s="2" t="inlineStr">
        <is>
          <t>Gamma</t>
        </is>
      </c>
      <c r="F5" s="2" t="n">
        <v>3</v>
      </c>
      <c r="G5" s="2" t="n">
        <v>500</v>
      </c>
      <c r="H5" s="2" t="inlineStr">
        <is>
          <t>Cancelled</t>
        </is>
      </c>
      <c r="I5" s="3">
        <f>A5&amp;"|"&amp;B5&amp;"|"&amp;C5&amp;"|"&amp;D5&amp;"|"&amp;E5&amp;"|"&amp;F5&amp;"|"&amp;G5&amp;"|"&amp;H5</f>
        <v/>
      </c>
      <c r="J5" s="3">
        <f>COUNTIF($I$2:$I$16,I5)</f>
        <v/>
      </c>
      <c r="K5" s="3">
        <f>IF(COUNTIF($I$2:I5,I5)=1,"Keep","Drop-exact duplicate")</f>
        <v/>
      </c>
    </row>
    <row r="6">
      <c r="A6" s="2" t="n">
        <v>1005</v>
      </c>
      <c r="B6" s="2" t="inlineStr">
        <is>
          <t>2026-07-03</t>
        </is>
      </c>
      <c r="C6" s="2" t="inlineStr">
        <is>
          <t>East</t>
        </is>
      </c>
      <c r="D6" s="2" t="inlineStr">
        <is>
          <t>Sam Wu</t>
        </is>
      </c>
      <c r="E6" s="2" t="inlineStr">
        <is>
          <t>Alpha</t>
        </is>
      </c>
      <c r="F6" s="2" t="n">
        <v>-2</v>
      </c>
      <c r="G6" s="2" t="n">
        <v>120</v>
      </c>
      <c r="H6" s="2" t="inlineStr">
        <is>
          <t>Refund</t>
        </is>
      </c>
      <c r="I6" s="3">
        <f>A6&amp;"|"&amp;B6&amp;"|"&amp;C6&amp;"|"&amp;D6&amp;"|"&amp;E6&amp;"|"&amp;F6&amp;"|"&amp;G6&amp;"|"&amp;H6</f>
        <v/>
      </c>
      <c r="J6" s="3">
        <f>COUNTIF($I$2:$I$16,I6)</f>
        <v/>
      </c>
      <c r="K6" s="3">
        <f>IF(COUNTIF($I$2:I6,I6)=1,"Keep","Drop-exact duplicate")</f>
        <v/>
      </c>
    </row>
    <row r="7">
      <c r="A7" s="2" t="n">
        <v>1006</v>
      </c>
      <c r="B7" s="2" t="inlineStr">
        <is>
          <t>2026-07-03</t>
        </is>
      </c>
      <c r="C7" s="2" t="inlineStr">
        <is>
          <t>east</t>
        </is>
      </c>
      <c r="D7" s="2" t="inlineStr">
        <is>
          <t>Sam Wu</t>
        </is>
      </c>
      <c r="E7" s="2" t="inlineStr">
        <is>
          <t>Beta</t>
        </is>
      </c>
      <c r="F7" s="2" t="n">
        <v>4</v>
      </c>
      <c r="G7" s="2" t="n">
        <v>200</v>
      </c>
      <c r="H7" s="2" t="inlineStr">
        <is>
          <t>Completed</t>
        </is>
      </c>
      <c r="I7" s="3">
        <f>A7&amp;"|"&amp;B7&amp;"|"&amp;C7&amp;"|"&amp;D7&amp;"|"&amp;E7&amp;"|"&amp;F7&amp;"|"&amp;G7&amp;"|"&amp;H7</f>
        <v/>
      </c>
      <c r="J7" s="3">
        <f>COUNTIF($I$2:$I$16,I7)</f>
        <v/>
      </c>
      <c r="K7" s="3">
        <f>IF(COUNTIF($I$2:I7,I7)=1,"Keep","Drop-exact duplicate")</f>
        <v/>
      </c>
    </row>
    <row r="8">
      <c r="A8" s="2" t="n">
        <v>1007</v>
      </c>
      <c r="B8" s="2" t="inlineStr">
        <is>
          <t>2026-07-04</t>
        </is>
      </c>
      <c r="C8" s="2" t="inlineStr">
        <is>
          <t>West</t>
        </is>
      </c>
      <c r="D8" s="2" t="inlineStr">
        <is>
          <t>Nina Ko</t>
        </is>
      </c>
      <c r="E8" s="2" t="inlineStr">
        <is>
          <t>Gamma</t>
        </is>
      </c>
      <c r="F8" s="2" t="n">
        <v>2</v>
      </c>
      <c r="G8" s="2" t="n">
        <v>500</v>
      </c>
      <c r="H8" s="2" t="inlineStr">
        <is>
          <t>Completed</t>
        </is>
      </c>
      <c r="I8" s="3">
        <f>A8&amp;"|"&amp;B8&amp;"|"&amp;C8&amp;"|"&amp;D8&amp;"|"&amp;E8&amp;"|"&amp;F8&amp;"|"&amp;G8&amp;"|"&amp;H8</f>
        <v/>
      </c>
      <c r="J8" s="3">
        <f>COUNTIF($I$2:$I$16,I8)</f>
        <v/>
      </c>
      <c r="K8" s="3">
        <f>IF(COUNTIF($I$2:I8,I8)=1,"Keep","Drop-exact duplicate")</f>
        <v/>
      </c>
    </row>
    <row r="9">
      <c r="A9" s="2" t="n">
        <v>1007</v>
      </c>
      <c r="B9" s="2" t="inlineStr">
        <is>
          <t>2026-07-04</t>
        </is>
      </c>
      <c r="C9" s="2" t="inlineStr">
        <is>
          <t>West</t>
        </is>
      </c>
      <c r="D9" s="2" t="inlineStr">
        <is>
          <t>Nina Ko</t>
        </is>
      </c>
      <c r="E9" s="2" t="inlineStr">
        <is>
          <t>Gamma</t>
        </is>
      </c>
      <c r="F9" s="2" t="n">
        <v>2</v>
      </c>
      <c r="G9" s="2" t="n">
        <v>500</v>
      </c>
      <c r="H9" s="2" t="inlineStr">
        <is>
          <t>Completed</t>
        </is>
      </c>
      <c r="I9" s="3">
        <f>A9&amp;"|"&amp;B9&amp;"|"&amp;C9&amp;"|"&amp;D9&amp;"|"&amp;E9&amp;"|"&amp;F9&amp;"|"&amp;G9&amp;"|"&amp;H9</f>
        <v/>
      </c>
      <c r="J9" s="3">
        <f>COUNTIF($I$2:$I$16,I9)</f>
        <v/>
      </c>
      <c r="K9" s="3">
        <f>IF(COUNTIF($I$2:I9,I9)=1,"Keep","Drop-exact duplicate")</f>
        <v/>
      </c>
    </row>
    <row r="10">
      <c r="A10" s="2" t="n">
        <v>1008</v>
      </c>
      <c r="B10" s="2" t="inlineStr">
        <is>
          <t>2026-07-05</t>
        </is>
      </c>
      <c r="C10" s="2" t="inlineStr">
        <is>
          <t>west</t>
        </is>
      </c>
      <c r="D10" s="2" t="inlineStr">
        <is>
          <t>Nina K.</t>
        </is>
      </c>
      <c r="E10" s="2" t="inlineStr">
        <is>
          <t>Alpha</t>
        </is>
      </c>
      <c r="F10" s="2" t="n">
        <v>6</v>
      </c>
      <c r="G10" s="2" t="n">
        <v>120</v>
      </c>
      <c r="H10" s="2" t="inlineStr">
        <is>
          <t>Completed</t>
        </is>
      </c>
      <c r="I10" s="3">
        <f>A10&amp;"|"&amp;B10&amp;"|"&amp;C10&amp;"|"&amp;D10&amp;"|"&amp;E10&amp;"|"&amp;F10&amp;"|"&amp;G10&amp;"|"&amp;H10</f>
        <v/>
      </c>
      <c r="J10" s="3">
        <f>COUNTIF($I$2:$I$16,I10)</f>
        <v/>
      </c>
      <c r="K10" s="3">
        <f>IF(COUNTIF($I$2:I10,I10)=1,"Keep","Drop-exact duplicate")</f>
        <v/>
      </c>
    </row>
    <row r="11">
      <c r="A11" s="2" t="n">
        <v>1009</v>
      </c>
      <c r="B11" s="2" t="inlineStr">
        <is>
          <t>2026-07-05</t>
        </is>
      </c>
      <c r="C11" s="2" t="inlineStr"/>
      <c r="D11" s="2" t="inlineStr">
        <is>
          <t>Jordan</t>
        </is>
      </c>
      <c r="E11" s="2" t="inlineStr">
        <is>
          <t>Beta</t>
        </is>
      </c>
      <c r="F11" s="2" t="n">
        <v>7</v>
      </c>
      <c r="G11" s="2" t="n">
        <v>200</v>
      </c>
      <c r="H11" s="2" t="inlineStr">
        <is>
          <t>Completed</t>
        </is>
      </c>
      <c r="I11" s="3">
        <f>A11&amp;"|"&amp;B11&amp;"|"&amp;C11&amp;"|"&amp;D11&amp;"|"&amp;E11&amp;"|"&amp;F11&amp;"|"&amp;G11&amp;"|"&amp;H11</f>
        <v/>
      </c>
      <c r="J11" s="3">
        <f>COUNTIF($I$2:$I$16,I11)</f>
        <v/>
      </c>
      <c r="K11" s="3">
        <f>IF(COUNTIF($I$2:I11,I11)=1,"Keep","Drop-exact duplicate")</f>
        <v/>
      </c>
    </row>
    <row r="12">
      <c r="A12" s="2" t="n">
        <v>1010</v>
      </c>
      <c r="B12" s="2" t="inlineStr">
        <is>
          <t>2026-07-06</t>
        </is>
      </c>
      <c r="C12" s="2" t="inlineStr">
        <is>
          <t>North</t>
        </is>
      </c>
      <c r="D12" s="2" t="inlineStr">
        <is>
          <t>A Chen</t>
        </is>
      </c>
      <c r="E12" s="2" t="inlineStr">
        <is>
          <t>Alpha</t>
        </is>
      </c>
      <c r="F12" s="2" t="n">
        <v>10</v>
      </c>
      <c r="G12" s="2" t="n">
        <v>120</v>
      </c>
      <c r="H12" s="2" t="inlineStr">
        <is>
          <t>Completed</t>
        </is>
      </c>
      <c r="I12" s="3">
        <f>A12&amp;"|"&amp;B12&amp;"|"&amp;C12&amp;"|"&amp;D12&amp;"|"&amp;E12&amp;"|"&amp;F12&amp;"|"&amp;G12&amp;"|"&amp;H12</f>
        <v/>
      </c>
      <c r="J12" s="3">
        <f>COUNTIF($I$2:$I$16,I12)</f>
        <v/>
      </c>
      <c r="K12" s="3">
        <f>IF(COUNTIF($I$2:I12,I12)=1,"Keep","Drop-exact duplicate")</f>
        <v/>
      </c>
    </row>
    <row r="13">
      <c r="A13" s="2" t="n">
        <v>1011</v>
      </c>
      <c r="B13" s="2" t="inlineStr">
        <is>
          <t>2026-07-06</t>
        </is>
      </c>
      <c r="C13" s="2" t="inlineStr">
        <is>
          <t>North</t>
        </is>
      </c>
      <c r="D13" s="2" t="inlineStr">
        <is>
          <t>Alex Chen</t>
        </is>
      </c>
      <c r="E13" s="2" t="inlineStr">
        <is>
          <t>Beta</t>
        </is>
      </c>
      <c r="F13" s="2" t="n">
        <v>5</v>
      </c>
      <c r="G13" s="2" t="n">
        <v>200</v>
      </c>
      <c r="H13" s="2" t="inlineStr">
        <is>
          <t>Pending</t>
        </is>
      </c>
      <c r="I13" s="3">
        <f>A13&amp;"|"&amp;B13&amp;"|"&amp;C13&amp;"|"&amp;D13&amp;"|"&amp;E13&amp;"|"&amp;F13&amp;"|"&amp;G13&amp;"|"&amp;H13</f>
        <v/>
      </c>
      <c r="J13" s="3">
        <f>COUNTIF($I$2:$I$16,I13)</f>
        <v/>
      </c>
      <c r="K13" s="3">
        <f>IF(COUNTIF($I$2:I13,I13)=1,"Keep","Drop-exact duplicate")</f>
        <v/>
      </c>
    </row>
    <row r="14">
      <c r="A14" s="2" t="n">
        <v>1012</v>
      </c>
      <c r="B14" s="2" t="inlineStr">
        <is>
          <t>2026-07-07</t>
        </is>
      </c>
      <c r="C14" s="2" t="inlineStr">
        <is>
          <t>East</t>
        </is>
      </c>
      <c r="D14" s="2" t="inlineStr">
        <is>
          <t>Sam Wu</t>
        </is>
      </c>
      <c r="E14" s="2" t="inlineStr">
        <is>
          <t>Gamma</t>
        </is>
      </c>
      <c r="F14" s="2" t="n">
        <v>1</v>
      </c>
      <c r="G14" s="2" t="n">
        <v>500</v>
      </c>
      <c r="H14" s="2" t="inlineStr">
        <is>
          <t>Completed</t>
        </is>
      </c>
      <c r="I14" s="3">
        <f>A14&amp;"|"&amp;B14&amp;"|"&amp;C14&amp;"|"&amp;D14&amp;"|"&amp;E14&amp;"|"&amp;F14&amp;"|"&amp;G14&amp;"|"&amp;H14</f>
        <v/>
      </c>
      <c r="J14" s="3">
        <f>COUNTIF($I$2:$I$16,I14)</f>
        <v/>
      </c>
      <c r="K14" s="3">
        <f>IF(COUNTIF($I$2:I14,I14)=1,"Keep","Drop-exact duplicate")</f>
        <v/>
      </c>
    </row>
    <row r="15">
      <c r="A15" s="2" t="n">
        <v>1013</v>
      </c>
      <c r="B15" s="2" t="inlineStr">
        <is>
          <t>2026-07-07</t>
        </is>
      </c>
      <c r="C15" s="2" t="inlineStr">
        <is>
          <t>South</t>
        </is>
      </c>
      <c r="D15" s="2" t="inlineStr">
        <is>
          <t>Maria Li</t>
        </is>
      </c>
      <c r="E15" s="2" t="inlineStr">
        <is>
          <t>Beta</t>
        </is>
      </c>
      <c r="F15" s="2" t="n">
        <v>5</v>
      </c>
      <c r="G15" s="2" t="n">
        <v>200</v>
      </c>
      <c r="H15" s="2" t="inlineStr">
        <is>
          <t>Completed</t>
        </is>
      </c>
      <c r="I15" s="3">
        <f>A15&amp;"|"&amp;B15&amp;"|"&amp;C15&amp;"|"&amp;D15&amp;"|"&amp;E15&amp;"|"&amp;F15&amp;"|"&amp;G15&amp;"|"&amp;H15</f>
        <v/>
      </c>
      <c r="J15" s="3">
        <f>COUNTIF($I$2:$I$16,I15)</f>
        <v/>
      </c>
      <c r="K15" s="3">
        <f>IF(COUNTIF($I$2:I15,I15)=1,"Keep","Drop-exact duplicate")</f>
        <v/>
      </c>
    </row>
    <row r="16">
      <c r="A16" s="2" t="n">
        <v>1014</v>
      </c>
      <c r="B16" s="2" t="inlineStr">
        <is>
          <t>2026-07-08</t>
        </is>
      </c>
      <c r="C16" s="2" t="inlineStr">
        <is>
          <t>West</t>
        </is>
      </c>
      <c r="D16" s="2" t="inlineStr">
        <is>
          <t>Nina Ko</t>
        </is>
      </c>
      <c r="E16" s="2" t="inlineStr">
        <is>
          <t>Alpha</t>
        </is>
      </c>
      <c r="F16" s="2" t="n">
        <v>-3</v>
      </c>
      <c r="G16" s="2" t="n">
        <v>120</v>
      </c>
      <c r="H16" s="2" t="inlineStr">
        <is>
          <t>Refund</t>
        </is>
      </c>
      <c r="I16" s="3">
        <f>A16&amp;"|"&amp;B16&amp;"|"&amp;C16&amp;"|"&amp;D16&amp;"|"&amp;E16&amp;"|"&amp;F16&amp;"|"&amp;G16&amp;"|"&amp;H16</f>
        <v/>
      </c>
      <c r="J16" s="3">
        <f>COUNTIF($I$2:$I$16,I16)</f>
        <v/>
      </c>
      <c r="K16" s="3">
        <f>IF(COUNTIF($I$2:I16,I16)=1,"Keep","Drop-exact duplicate")</f>
        <v/>
      </c>
    </row>
    <row r="17"/>
    <row r="18">
      <c r="A18" s="4" t="inlineStr">
        <is>
          <t>原始数据原样保留（黄色=输入）。I:K 列为公式：Dup_Key 拼接全部字段；Dup_Count 统计完全重复次数；Keep_Flag 对完全重复行只保留首条。</t>
        </is>
      </c>
    </row>
    <row r="19">
      <c r="A19" s="4" t="inlineStr">
        <is>
          <t>Raw 中 1007 出现两次且所有字段完全相同 → 第 9 行标记 Drop-exact duplicate；1001/1010（不同日期）为相似但非重复订单，均保留。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9" customWidth="1" min="12" max="12"/>
    <col width="13" customWidth="1" min="14" max="14"/>
    <col width="14" customWidth="1" min="15" max="15"/>
  </cols>
  <sheetData>
    <row r="1">
      <c r="A1" s="1" t="inlineStr">
        <is>
          <t>Order_ID</t>
        </is>
      </c>
      <c r="B1" s="1" t="inlineStr">
        <is>
          <t>Date (normalized)</t>
        </is>
      </c>
      <c r="C1" s="1" t="inlineStr">
        <is>
          <t>Source_Date_Text</t>
        </is>
      </c>
      <c r="D1" s="1" t="inlineStr">
        <is>
          <t>Region</t>
        </is>
      </c>
      <c r="E1" s="1" t="inlineStr">
        <is>
          <t>Rep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Unit_Price</t>
        </is>
      </c>
      <c r="I1" s="1" t="inlineStr">
        <is>
          <t>Status</t>
        </is>
      </c>
      <c r="J1" s="1" t="inlineStr">
        <is>
          <t>Net_Revenue</t>
        </is>
      </c>
      <c r="K1" s="1" t="inlineStr">
        <is>
          <t>Exception_Flag</t>
        </is>
      </c>
      <c r="L1" s="1" t="inlineStr">
        <is>
          <t>Raw_Row</t>
        </is>
      </c>
      <c r="N1" s="5" t="inlineStr">
        <is>
          <t>Rep_Variant</t>
        </is>
      </c>
      <c r="O1" s="5" t="inlineStr">
        <is>
          <t>Rep_Standard</t>
        </is>
      </c>
    </row>
    <row r="2">
      <c r="A2" s="6">
        <f>Raw!A2</f>
        <v/>
      </c>
      <c r="B2" s="7" t="n">
        <v>46204</v>
      </c>
      <c r="C2" s="6">
        <f>Raw!B2</f>
        <v/>
      </c>
      <c r="D2" s="6">
        <f>IF(TRIM(Raw!C2)="","Unknown",PROPER(TRIM(Raw!C2)))</f>
        <v/>
      </c>
      <c r="E2" s="6">
        <f>IFERROR(VLOOKUP(TRIM(Raw!D2),$N$2:$O$9,2,FALSE),TRIM(Raw!D2))</f>
        <v/>
      </c>
      <c r="F2" s="6">
        <f>Raw!E2</f>
        <v/>
      </c>
      <c r="G2" s="6">
        <f>Raw!F2</f>
        <v/>
      </c>
      <c r="H2" s="6">
        <f>Raw!G2</f>
        <v/>
      </c>
      <c r="I2" s="6">
        <f>Raw!H2</f>
        <v/>
      </c>
      <c r="J2" s="6">
        <f>IF(I2="Completed",G2*H2,IF(I2="Refund",-ABS(G2)*H2,0))</f>
        <v/>
      </c>
      <c r="K2" s="6">
        <f>TRIM(IF(D2="Unknown","Missing region; ","")&amp;IF(I2="Refund","Refund (negative units); ","")&amp;IF(I2="Pending","Pending=0 revenue; ","")&amp;IF(I2="Cancelled","Cancelled=0 revenue; ","")&amp;IF(Raw!D2&lt;&gt;E2,"Rep normalized; ","")&amp;IF(LEFT(Raw!B2,4)&lt;&gt;"2026","Date format normalized; ",""))</f>
        <v/>
      </c>
      <c r="L2" s="8" t="n">
        <v>2</v>
      </c>
      <c r="N2" s="9" t="inlineStr">
        <is>
          <t>A. Chen</t>
        </is>
      </c>
      <c r="O2" s="9" t="inlineStr">
        <is>
          <t>Alex Chen</t>
        </is>
      </c>
    </row>
    <row r="3">
      <c r="A3" s="6">
        <f>Raw!A3</f>
        <v/>
      </c>
      <c r="B3" s="7" t="n">
        <v>46204</v>
      </c>
      <c r="C3" s="6">
        <f>Raw!B3</f>
        <v/>
      </c>
      <c r="D3" s="6">
        <f>IF(TRIM(Raw!C3)="","Unknown",PROPER(TRIM(Raw!C3)))</f>
        <v/>
      </c>
      <c r="E3" s="6">
        <f>IFERROR(VLOOKUP(TRIM(Raw!D3),$N$2:$O$9,2,FALSE),TRIM(Raw!D3))</f>
        <v/>
      </c>
      <c r="F3" s="6">
        <f>Raw!E3</f>
        <v/>
      </c>
      <c r="G3" s="6">
        <f>Raw!F3</f>
        <v/>
      </c>
      <c r="H3" s="6">
        <f>Raw!G3</f>
        <v/>
      </c>
      <c r="I3" s="6">
        <f>Raw!H3</f>
        <v/>
      </c>
      <c r="J3" s="6">
        <f>IF(I3="Completed",G3*H3,IF(I3="Refund",-ABS(G3)*H3,0))</f>
        <v/>
      </c>
      <c r="K3" s="6">
        <f>TRIM(IF(D3="Unknown","Missing region; ","")&amp;IF(I3="Refund","Refund (negative units); ","")&amp;IF(I3="Pending","Pending=0 revenue; ","")&amp;IF(I3="Cancelled","Cancelled=0 revenue; ","")&amp;IF(Raw!D3&lt;&gt;E3,"Rep normalized; ","")&amp;IF(LEFT(Raw!B3,4)&lt;&gt;"2026","Date format normalized; ",""))</f>
        <v/>
      </c>
      <c r="L3" s="8" t="n">
        <v>3</v>
      </c>
      <c r="N3" s="9" t="inlineStr">
        <is>
          <t>A Chen</t>
        </is>
      </c>
      <c r="O3" s="9" t="inlineStr">
        <is>
          <t>Alex Chen</t>
        </is>
      </c>
    </row>
    <row r="4">
      <c r="A4" s="6">
        <f>Raw!A4</f>
        <v/>
      </c>
      <c r="B4" s="7" t="n">
        <v>46205</v>
      </c>
      <c r="C4" s="6">
        <f>Raw!B4</f>
        <v/>
      </c>
      <c r="D4" s="6">
        <f>IF(TRIM(Raw!C4)="","Unknown",PROPER(TRIM(Raw!C4)))</f>
        <v/>
      </c>
      <c r="E4" s="6">
        <f>IFERROR(VLOOKUP(TRIM(Raw!D4),$N$2:$O$9,2,FALSE),TRIM(Raw!D4))</f>
        <v/>
      </c>
      <c r="F4" s="6">
        <f>Raw!E4</f>
        <v/>
      </c>
      <c r="G4" s="6">
        <f>Raw!F4</f>
        <v/>
      </c>
      <c r="H4" s="6">
        <f>Raw!G4</f>
        <v/>
      </c>
      <c r="I4" s="6">
        <f>Raw!H4</f>
        <v/>
      </c>
      <c r="J4" s="6">
        <f>IF(I4="Completed",G4*H4,IF(I4="Refund",-ABS(G4)*H4,0))</f>
        <v/>
      </c>
      <c r="K4" s="6">
        <f>TRIM(IF(D4="Unknown","Missing region; ","")&amp;IF(I4="Refund","Refund (negative units); ","")&amp;IF(I4="Pending","Pending=0 revenue; ","")&amp;IF(I4="Cancelled","Cancelled=0 revenue; ","")&amp;IF(Raw!D4&lt;&gt;E4,"Rep normalized; ","")&amp;IF(LEFT(Raw!B4,4)&lt;&gt;"2026","Date format normalized; ",""))</f>
        <v/>
      </c>
      <c r="L4" s="8" t="n">
        <v>4</v>
      </c>
      <c r="N4" s="9" t="inlineStr">
        <is>
          <t>Alex Chen</t>
        </is>
      </c>
      <c r="O4" s="9" t="inlineStr">
        <is>
          <t>Alex Chen</t>
        </is>
      </c>
    </row>
    <row r="5">
      <c r="A5" s="6">
        <f>Raw!A5</f>
        <v/>
      </c>
      <c r="B5" s="7" t="n">
        <v>46205</v>
      </c>
      <c r="C5" s="6">
        <f>Raw!B5</f>
        <v/>
      </c>
      <c r="D5" s="6">
        <f>IF(TRIM(Raw!C5)="","Unknown",PROPER(TRIM(Raw!C5)))</f>
        <v/>
      </c>
      <c r="E5" s="6">
        <f>IFERROR(VLOOKUP(TRIM(Raw!D5),$N$2:$O$9,2,FALSE),TRIM(Raw!D5))</f>
        <v/>
      </c>
      <c r="F5" s="6">
        <f>Raw!E5</f>
        <v/>
      </c>
      <c r="G5" s="6">
        <f>Raw!F5</f>
        <v/>
      </c>
      <c r="H5" s="6">
        <f>Raw!G5</f>
        <v/>
      </c>
      <c r="I5" s="6">
        <f>Raw!H5</f>
        <v/>
      </c>
      <c r="J5" s="6">
        <f>IF(I5="Completed",G5*H5,IF(I5="Refund",-ABS(G5)*H5,0))</f>
        <v/>
      </c>
      <c r="K5" s="6">
        <f>TRIM(IF(D5="Unknown","Missing region; ","")&amp;IF(I5="Refund","Refund (negative units); ","")&amp;IF(I5="Pending","Pending=0 revenue; ","")&amp;IF(I5="Cancelled","Cancelled=0 revenue; ","")&amp;IF(Raw!D5&lt;&gt;E5,"Rep normalized; ","")&amp;IF(LEFT(Raw!B5,4)&lt;&gt;"2026","Date format normalized; ",""))</f>
        <v/>
      </c>
      <c r="L5" s="8" t="n">
        <v>5</v>
      </c>
      <c r="N5" s="9" t="inlineStr">
        <is>
          <t>Nina K.</t>
        </is>
      </c>
      <c r="O5" s="9" t="inlineStr">
        <is>
          <t>Nina Ko</t>
        </is>
      </c>
    </row>
    <row r="6">
      <c r="A6" s="6">
        <f>Raw!A6</f>
        <v/>
      </c>
      <c r="B6" s="7" t="n">
        <v>46206</v>
      </c>
      <c r="C6" s="6">
        <f>Raw!B6</f>
        <v/>
      </c>
      <c r="D6" s="6">
        <f>IF(TRIM(Raw!C6)="","Unknown",PROPER(TRIM(Raw!C6)))</f>
        <v/>
      </c>
      <c r="E6" s="6">
        <f>IFERROR(VLOOKUP(TRIM(Raw!D6),$N$2:$O$9,2,FALSE),TRIM(Raw!D6))</f>
        <v/>
      </c>
      <c r="F6" s="6">
        <f>Raw!E6</f>
        <v/>
      </c>
      <c r="G6" s="6">
        <f>Raw!F6</f>
        <v/>
      </c>
      <c r="H6" s="6">
        <f>Raw!G6</f>
        <v/>
      </c>
      <c r="I6" s="6">
        <f>Raw!H6</f>
        <v/>
      </c>
      <c r="J6" s="6">
        <f>IF(I6="Completed",G6*H6,IF(I6="Refund",-ABS(G6)*H6,0))</f>
        <v/>
      </c>
      <c r="K6" s="6">
        <f>TRIM(IF(D6="Unknown","Missing region; ","")&amp;IF(I6="Refund","Refund (negative units); ","")&amp;IF(I6="Pending","Pending=0 revenue; ","")&amp;IF(I6="Cancelled","Cancelled=0 revenue; ","")&amp;IF(Raw!D6&lt;&gt;E6,"Rep normalized; ","")&amp;IF(LEFT(Raw!B6,4)&lt;&gt;"2026","Date format normalized; ",""))</f>
        <v/>
      </c>
      <c r="L6" s="8" t="n">
        <v>6</v>
      </c>
      <c r="N6" s="9" t="inlineStr">
        <is>
          <t>Nina Ko</t>
        </is>
      </c>
      <c r="O6" s="9" t="inlineStr">
        <is>
          <t>Nina Ko</t>
        </is>
      </c>
    </row>
    <row r="7">
      <c r="A7" s="6">
        <f>Raw!A7</f>
        <v/>
      </c>
      <c r="B7" s="7" t="n">
        <v>46206</v>
      </c>
      <c r="C7" s="6">
        <f>Raw!B7</f>
        <v/>
      </c>
      <c r="D7" s="6">
        <f>IF(TRIM(Raw!C7)="","Unknown",PROPER(TRIM(Raw!C7)))</f>
        <v/>
      </c>
      <c r="E7" s="6">
        <f>IFERROR(VLOOKUP(TRIM(Raw!D7),$N$2:$O$9,2,FALSE),TRIM(Raw!D7))</f>
        <v/>
      </c>
      <c r="F7" s="6">
        <f>Raw!E7</f>
        <v/>
      </c>
      <c r="G7" s="6">
        <f>Raw!F7</f>
        <v/>
      </c>
      <c r="H7" s="6">
        <f>Raw!G7</f>
        <v/>
      </c>
      <c r="I7" s="6">
        <f>Raw!H7</f>
        <v/>
      </c>
      <c r="J7" s="6">
        <f>IF(I7="Completed",G7*H7,IF(I7="Refund",-ABS(G7)*H7,0))</f>
        <v/>
      </c>
      <c r="K7" s="6">
        <f>TRIM(IF(D7="Unknown","Missing region; ","")&amp;IF(I7="Refund","Refund (negative units); ","")&amp;IF(I7="Pending","Pending=0 revenue; ","")&amp;IF(I7="Cancelled","Cancelled=0 revenue; ","")&amp;IF(Raw!D7&lt;&gt;E7,"Rep normalized; ","")&amp;IF(LEFT(Raw!B7,4)&lt;&gt;"2026","Date format normalized; ",""))</f>
        <v/>
      </c>
      <c r="L7" s="8" t="n">
        <v>7</v>
      </c>
      <c r="N7" s="9" t="inlineStr">
        <is>
          <t>Maria Li</t>
        </is>
      </c>
      <c r="O7" s="9" t="inlineStr">
        <is>
          <t>Maria Li</t>
        </is>
      </c>
    </row>
    <row r="8">
      <c r="A8" s="6">
        <f>Raw!A8</f>
        <v/>
      </c>
      <c r="B8" s="7" t="n">
        <v>46207</v>
      </c>
      <c r="C8" s="6">
        <f>Raw!B8</f>
        <v/>
      </c>
      <c r="D8" s="6">
        <f>IF(TRIM(Raw!C8)="","Unknown",PROPER(TRIM(Raw!C8)))</f>
        <v/>
      </c>
      <c r="E8" s="6">
        <f>IFERROR(VLOOKUP(TRIM(Raw!D8),$N$2:$O$9,2,FALSE),TRIM(Raw!D8))</f>
        <v/>
      </c>
      <c r="F8" s="6">
        <f>Raw!E8</f>
        <v/>
      </c>
      <c r="G8" s="6">
        <f>Raw!F8</f>
        <v/>
      </c>
      <c r="H8" s="6">
        <f>Raw!G8</f>
        <v/>
      </c>
      <c r="I8" s="6">
        <f>Raw!H8</f>
        <v/>
      </c>
      <c r="J8" s="6">
        <f>IF(I8="Completed",G8*H8,IF(I8="Refund",-ABS(G8)*H8,0))</f>
        <v/>
      </c>
      <c r="K8" s="6">
        <f>TRIM(IF(D8="Unknown","Missing region; ","")&amp;IF(I8="Refund","Refund (negative units); ","")&amp;IF(I8="Pending","Pending=0 revenue; ","")&amp;IF(I8="Cancelled","Cancelled=0 revenue; ","")&amp;IF(Raw!D8&lt;&gt;E8,"Rep normalized; ","")&amp;IF(LEFT(Raw!B8,4)&lt;&gt;"2026","Date format normalized; ",""))</f>
        <v/>
      </c>
      <c r="L8" s="8" t="n">
        <v>8</v>
      </c>
      <c r="N8" s="9" t="inlineStr">
        <is>
          <t>Sam Wu</t>
        </is>
      </c>
      <c r="O8" s="9" t="inlineStr">
        <is>
          <t>Sam Wu</t>
        </is>
      </c>
    </row>
    <row r="9">
      <c r="A9" s="6">
        <f>Raw!A10</f>
        <v/>
      </c>
      <c r="B9" s="7" t="n">
        <v>46208</v>
      </c>
      <c r="C9" s="6">
        <f>Raw!B10</f>
        <v/>
      </c>
      <c r="D9" s="6">
        <f>IF(TRIM(Raw!C10)="","Unknown",PROPER(TRIM(Raw!C10)))</f>
        <v/>
      </c>
      <c r="E9" s="6">
        <f>IFERROR(VLOOKUP(TRIM(Raw!D10),$N$2:$O$9,2,FALSE),TRIM(Raw!D10))</f>
        <v/>
      </c>
      <c r="F9" s="6">
        <f>Raw!E10</f>
        <v/>
      </c>
      <c r="G9" s="6">
        <f>Raw!F10</f>
        <v/>
      </c>
      <c r="H9" s="6">
        <f>Raw!G10</f>
        <v/>
      </c>
      <c r="I9" s="6">
        <f>Raw!H10</f>
        <v/>
      </c>
      <c r="J9" s="6">
        <f>IF(I9="Completed",G9*H9,IF(I9="Refund",-ABS(G9)*H9,0))</f>
        <v/>
      </c>
      <c r="K9" s="6">
        <f>TRIM(IF(D9="Unknown","Missing region; ","")&amp;IF(I9="Refund","Refund (negative units); ","")&amp;IF(I9="Pending","Pending=0 revenue; ","")&amp;IF(I9="Cancelled","Cancelled=0 revenue; ","")&amp;IF(Raw!D10&lt;&gt;E9,"Rep normalized; ","")&amp;IF(LEFT(Raw!B10,4)&lt;&gt;"2026","Date format normalized; ",""))</f>
        <v/>
      </c>
      <c r="L9" s="8" t="n">
        <v>10</v>
      </c>
      <c r="N9" s="9" t="inlineStr">
        <is>
          <t>Jordan</t>
        </is>
      </c>
      <c r="O9" s="9" t="inlineStr">
        <is>
          <t>Jordan</t>
        </is>
      </c>
    </row>
    <row r="10">
      <c r="A10" s="6">
        <f>Raw!A11</f>
        <v/>
      </c>
      <c r="B10" s="7" t="n">
        <v>46208</v>
      </c>
      <c r="C10" s="6">
        <f>Raw!B11</f>
        <v/>
      </c>
      <c r="D10" s="6">
        <f>IF(TRIM(Raw!C11)="","Unknown",PROPER(TRIM(Raw!C11)))</f>
        <v/>
      </c>
      <c r="E10" s="6">
        <f>IFERROR(VLOOKUP(TRIM(Raw!D11),$N$2:$O$9,2,FALSE),TRIM(Raw!D11))</f>
        <v/>
      </c>
      <c r="F10" s="6">
        <f>Raw!E11</f>
        <v/>
      </c>
      <c r="G10" s="6">
        <f>Raw!F11</f>
        <v/>
      </c>
      <c r="H10" s="6">
        <f>Raw!G11</f>
        <v/>
      </c>
      <c r="I10" s="6">
        <f>Raw!H11</f>
        <v/>
      </c>
      <c r="J10" s="6">
        <f>IF(I10="Completed",G10*H10,IF(I10="Refund",-ABS(G10)*H10,0))</f>
        <v/>
      </c>
      <c r="K10" s="6">
        <f>TRIM(IF(D10="Unknown","Missing region; ","")&amp;IF(I10="Refund","Refund (negative units); ","")&amp;IF(I10="Pending","Pending=0 revenue; ","")&amp;IF(I10="Cancelled","Cancelled=0 revenue; ","")&amp;IF(Raw!D11&lt;&gt;E10,"Rep normalized; ","")&amp;IF(LEFT(Raw!B11,4)&lt;&gt;"2026","Date format normalized; ",""))</f>
        <v/>
      </c>
      <c r="L10" s="8" t="n">
        <v>11</v>
      </c>
    </row>
    <row r="11">
      <c r="A11" s="6">
        <f>Raw!A12</f>
        <v/>
      </c>
      <c r="B11" s="7" t="n">
        <v>46209</v>
      </c>
      <c r="C11" s="6">
        <f>Raw!B12</f>
        <v/>
      </c>
      <c r="D11" s="6">
        <f>IF(TRIM(Raw!C12)="","Unknown",PROPER(TRIM(Raw!C12)))</f>
        <v/>
      </c>
      <c r="E11" s="6">
        <f>IFERROR(VLOOKUP(TRIM(Raw!D12),$N$2:$O$9,2,FALSE),TRIM(Raw!D12))</f>
        <v/>
      </c>
      <c r="F11" s="6">
        <f>Raw!E12</f>
        <v/>
      </c>
      <c r="G11" s="6">
        <f>Raw!F12</f>
        <v/>
      </c>
      <c r="H11" s="6">
        <f>Raw!G12</f>
        <v/>
      </c>
      <c r="I11" s="6">
        <f>Raw!H12</f>
        <v/>
      </c>
      <c r="J11" s="6">
        <f>IF(I11="Completed",G11*H11,IF(I11="Refund",-ABS(G11)*H11,0))</f>
        <v/>
      </c>
      <c r="K11" s="6">
        <f>TRIM(IF(D11="Unknown","Missing region; ","")&amp;IF(I11="Refund","Refund (negative units); ","")&amp;IF(I11="Pending","Pending=0 revenue; ","")&amp;IF(I11="Cancelled","Cancelled=0 revenue; ","")&amp;IF(Raw!D12&lt;&gt;E11,"Rep normalized; ","")&amp;IF(LEFT(Raw!B12,4)&lt;&gt;"2026","Date format normalized; ",""))</f>
        <v/>
      </c>
      <c r="L11" s="8" t="n">
        <v>12</v>
      </c>
    </row>
    <row r="12">
      <c r="A12" s="6">
        <f>Raw!A13</f>
        <v/>
      </c>
      <c r="B12" s="7" t="n">
        <v>46209</v>
      </c>
      <c r="C12" s="6">
        <f>Raw!B13</f>
        <v/>
      </c>
      <c r="D12" s="6">
        <f>IF(TRIM(Raw!C13)="","Unknown",PROPER(TRIM(Raw!C13)))</f>
        <v/>
      </c>
      <c r="E12" s="6">
        <f>IFERROR(VLOOKUP(TRIM(Raw!D13),$N$2:$O$9,2,FALSE),TRIM(Raw!D13))</f>
        <v/>
      </c>
      <c r="F12" s="6">
        <f>Raw!E13</f>
        <v/>
      </c>
      <c r="G12" s="6">
        <f>Raw!F13</f>
        <v/>
      </c>
      <c r="H12" s="6">
        <f>Raw!G13</f>
        <v/>
      </c>
      <c r="I12" s="6">
        <f>Raw!H13</f>
        <v/>
      </c>
      <c r="J12" s="6">
        <f>IF(I12="Completed",G12*H12,IF(I12="Refund",-ABS(G12)*H12,0))</f>
        <v/>
      </c>
      <c r="K12" s="6">
        <f>TRIM(IF(D12="Unknown","Missing region; ","")&amp;IF(I12="Refund","Refund (negative units); ","")&amp;IF(I12="Pending","Pending=0 revenue; ","")&amp;IF(I12="Cancelled","Cancelled=0 revenue; ","")&amp;IF(Raw!D13&lt;&gt;E12,"Rep normalized; ","")&amp;IF(LEFT(Raw!B13,4)&lt;&gt;"2026","Date format normalized; ",""))</f>
        <v/>
      </c>
      <c r="L12" s="8" t="n">
        <v>13</v>
      </c>
    </row>
    <row r="13">
      <c r="A13" s="6">
        <f>Raw!A14</f>
        <v/>
      </c>
      <c r="B13" s="7" t="n">
        <v>46210</v>
      </c>
      <c r="C13" s="6">
        <f>Raw!B14</f>
        <v/>
      </c>
      <c r="D13" s="6">
        <f>IF(TRIM(Raw!C14)="","Unknown",PROPER(TRIM(Raw!C14)))</f>
        <v/>
      </c>
      <c r="E13" s="6">
        <f>IFERROR(VLOOKUP(TRIM(Raw!D14),$N$2:$O$9,2,FALSE),TRIM(Raw!D14))</f>
        <v/>
      </c>
      <c r="F13" s="6">
        <f>Raw!E14</f>
        <v/>
      </c>
      <c r="G13" s="6">
        <f>Raw!F14</f>
        <v/>
      </c>
      <c r="H13" s="6">
        <f>Raw!G14</f>
        <v/>
      </c>
      <c r="I13" s="6">
        <f>Raw!H14</f>
        <v/>
      </c>
      <c r="J13" s="6">
        <f>IF(I13="Completed",G13*H13,IF(I13="Refund",-ABS(G13)*H13,0))</f>
        <v/>
      </c>
      <c r="K13" s="6">
        <f>TRIM(IF(D13="Unknown","Missing region; ","")&amp;IF(I13="Refund","Refund (negative units); ","")&amp;IF(I13="Pending","Pending=0 revenue; ","")&amp;IF(I13="Cancelled","Cancelled=0 revenue; ","")&amp;IF(Raw!D14&lt;&gt;E13,"Rep normalized; ","")&amp;IF(LEFT(Raw!B14,4)&lt;&gt;"2026","Date format normalized; ",""))</f>
        <v/>
      </c>
      <c r="L13" s="8" t="n">
        <v>14</v>
      </c>
    </row>
    <row r="14">
      <c r="A14" s="6">
        <f>Raw!A15</f>
        <v/>
      </c>
      <c r="B14" s="7" t="n">
        <v>46210</v>
      </c>
      <c r="C14" s="6">
        <f>Raw!B15</f>
        <v/>
      </c>
      <c r="D14" s="6">
        <f>IF(TRIM(Raw!C15)="","Unknown",PROPER(TRIM(Raw!C15)))</f>
        <v/>
      </c>
      <c r="E14" s="6">
        <f>IFERROR(VLOOKUP(TRIM(Raw!D15),$N$2:$O$9,2,FALSE),TRIM(Raw!D15))</f>
        <v/>
      </c>
      <c r="F14" s="6">
        <f>Raw!E15</f>
        <v/>
      </c>
      <c r="G14" s="6">
        <f>Raw!F15</f>
        <v/>
      </c>
      <c r="H14" s="6">
        <f>Raw!G15</f>
        <v/>
      </c>
      <c r="I14" s="6">
        <f>Raw!H15</f>
        <v/>
      </c>
      <c r="J14" s="6">
        <f>IF(I14="Completed",G14*H14,IF(I14="Refund",-ABS(G14)*H14,0))</f>
        <v/>
      </c>
      <c r="K14" s="6">
        <f>TRIM(IF(D14="Unknown","Missing region; ","")&amp;IF(I14="Refund","Refund (negative units); ","")&amp;IF(I14="Pending","Pending=0 revenue; ","")&amp;IF(I14="Cancelled","Cancelled=0 revenue; ","")&amp;IF(Raw!D15&lt;&gt;E14,"Rep normalized; ","")&amp;IF(LEFT(Raw!B15,4)&lt;&gt;"2026","Date format normalized; ",""))</f>
        <v/>
      </c>
      <c r="L14" s="8" t="n">
        <v>15</v>
      </c>
    </row>
    <row r="15">
      <c r="A15" s="6">
        <f>Raw!A16</f>
        <v/>
      </c>
      <c r="B15" s="7" t="n">
        <v>46211</v>
      </c>
      <c r="C15" s="6">
        <f>Raw!B16</f>
        <v/>
      </c>
      <c r="D15" s="6">
        <f>IF(TRIM(Raw!C16)="","Unknown",PROPER(TRIM(Raw!C16)))</f>
        <v/>
      </c>
      <c r="E15" s="6">
        <f>IFERROR(VLOOKUP(TRIM(Raw!D16),$N$2:$O$9,2,FALSE),TRIM(Raw!D16))</f>
        <v/>
      </c>
      <c r="F15" s="6">
        <f>Raw!E16</f>
        <v/>
      </c>
      <c r="G15" s="6">
        <f>Raw!F16</f>
        <v/>
      </c>
      <c r="H15" s="6">
        <f>Raw!G16</f>
        <v/>
      </c>
      <c r="I15" s="6">
        <f>Raw!H16</f>
        <v/>
      </c>
      <c r="J15" s="6">
        <f>IF(I15="Completed",G15*H15,IF(I15="Refund",-ABS(G15)*H15,0))</f>
        <v/>
      </c>
      <c r="K15" s="6">
        <f>TRIM(IF(D15="Unknown","Missing region; ","")&amp;IF(I15="Refund","Refund (negative units); ","")&amp;IF(I15="Pending","Pending=0 revenue; ","")&amp;IF(I15="Cancelled","Cancelled=0 revenue; ","")&amp;IF(Raw!D16&lt;&gt;E15,"Rep normalized; ","")&amp;IF(LEFT(Raw!B16,4)&lt;&gt;"2026","Date format normalized; ",""))</f>
        <v/>
      </c>
      <c r="L15" s="8" t="n">
        <v>16</v>
      </c>
    </row>
    <row r="16"/>
    <row r="17">
      <c r="A17" s="10" t="inlineStr">
        <is>
          <t>合计</t>
        </is>
      </c>
      <c r="F17" t="inlineStr">
        <is>
          <t>订单数</t>
        </is>
      </c>
      <c r="G17">
        <f>COUNTA(A2:A15)</f>
        <v/>
      </c>
      <c r="J17" s="11">
        <f>SUM(J2:J15)</f>
        <v/>
      </c>
    </row>
    <row r="18"/>
    <row r="19">
      <c r="A19" s="4" t="inlineStr">
        <is>
          <t>清洗规则：完全重复行只保留一条（Raw 第 9 行 1007 被剔除）；Region 首字母大写、缺失写 Unknown；Rep 按 N:O 映射表标准化；</t>
        </is>
      </c>
    </row>
    <row r="20">
      <c r="A20" s="4" t="inlineStr">
        <is>
          <t>Net_Revenue：Completed=Units*Unit_Price；Refund=-ABS(Units)*Unit_Price（题内 Units 已为负）；Cancelled/Pending=0。日期由混合格式统一为 yyyy-mm-dd（原文保留在 Source_Date_Text）。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8" customWidth="1" min="4" max="4"/>
    <col width="15" customWidth="1" min="5" max="5"/>
    <col width="19" customWidth="1" min="6" max="6"/>
  </cols>
  <sheetData>
    <row r="1">
      <c r="A1" s="12" t="inlineStr">
        <is>
          <t>按 Region 汇总（公式：SUMIFS / COUNTIFS 引用 Clean）</t>
        </is>
      </c>
    </row>
    <row r="2">
      <c r="A2" s="1" t="inlineStr">
        <is>
          <t>Region</t>
        </is>
      </c>
      <c r="B2" s="1" t="inlineStr">
        <is>
          <t>Net_Revenue</t>
        </is>
      </c>
      <c r="C2" s="1" t="inlineStr">
        <is>
          <t>Orders</t>
        </is>
      </c>
      <c r="D2" s="1" t="inlineStr">
        <is>
          <t>Completed_Orders</t>
        </is>
      </c>
      <c r="E2" s="1" t="inlineStr">
        <is>
          <t>Refund_Orders</t>
        </is>
      </c>
      <c r="F2" s="1" t="inlineStr">
        <is>
          <t>Avg_Net_per_Order</t>
        </is>
      </c>
    </row>
    <row r="3">
      <c r="A3" s="2" t="inlineStr">
        <is>
          <t>North</t>
        </is>
      </c>
      <c r="B3" s="13">
        <f>SUMIFS(Clean!$J$2:$J$15,Clean!$D$2:$D$15,A3)</f>
        <v/>
      </c>
      <c r="C3" s="6">
        <f>COUNTIFS(Clean!$D$2:$D$15,A3)</f>
        <v/>
      </c>
      <c r="D3" s="6">
        <f>COUNTIFS(Clean!$D$2:$D$15,A3,Clean!$I$2:$I$15,"Completed")</f>
        <v/>
      </c>
      <c r="E3" s="6">
        <f>COUNTIFS(Clean!$D$2:$D$15,A3,Clean!$I$2:$I$15,"Refund")</f>
        <v/>
      </c>
      <c r="F3" s="14">
        <f>IF(C3=0,0,B3/C3)</f>
        <v/>
      </c>
    </row>
    <row r="4">
      <c r="A4" s="2" t="inlineStr">
        <is>
          <t>South</t>
        </is>
      </c>
      <c r="B4" s="13">
        <f>SUMIFS(Clean!$J$2:$J$15,Clean!$D$2:$D$15,A4)</f>
        <v/>
      </c>
      <c r="C4" s="6">
        <f>COUNTIFS(Clean!$D$2:$D$15,A4)</f>
        <v/>
      </c>
      <c r="D4" s="6">
        <f>COUNTIFS(Clean!$D$2:$D$15,A4,Clean!$I$2:$I$15,"Completed")</f>
        <v/>
      </c>
      <c r="E4" s="6">
        <f>COUNTIFS(Clean!$D$2:$D$15,A4,Clean!$I$2:$I$15,"Refund")</f>
        <v/>
      </c>
      <c r="F4" s="14">
        <f>IF(C4=0,0,B4/C4)</f>
        <v/>
      </c>
    </row>
    <row r="5">
      <c r="A5" s="2" t="inlineStr">
        <is>
          <t>East</t>
        </is>
      </c>
      <c r="B5" s="13">
        <f>SUMIFS(Clean!$J$2:$J$15,Clean!$D$2:$D$15,A5)</f>
        <v/>
      </c>
      <c r="C5" s="6">
        <f>COUNTIFS(Clean!$D$2:$D$15,A5)</f>
        <v/>
      </c>
      <c r="D5" s="6">
        <f>COUNTIFS(Clean!$D$2:$D$15,A5,Clean!$I$2:$I$15,"Completed")</f>
        <v/>
      </c>
      <c r="E5" s="6">
        <f>COUNTIFS(Clean!$D$2:$D$15,A5,Clean!$I$2:$I$15,"Refund")</f>
        <v/>
      </c>
      <c r="F5" s="14">
        <f>IF(C5=0,0,B5/C5)</f>
        <v/>
      </c>
    </row>
    <row r="6">
      <c r="A6" s="2" t="inlineStr">
        <is>
          <t>West</t>
        </is>
      </c>
      <c r="B6" s="13">
        <f>SUMIFS(Clean!$J$2:$J$15,Clean!$D$2:$D$15,A6)</f>
        <v/>
      </c>
      <c r="C6" s="6">
        <f>COUNTIFS(Clean!$D$2:$D$15,A6)</f>
        <v/>
      </c>
      <c r="D6" s="6">
        <f>COUNTIFS(Clean!$D$2:$D$15,A6,Clean!$I$2:$I$15,"Completed")</f>
        <v/>
      </c>
      <c r="E6" s="6">
        <f>COUNTIFS(Clean!$D$2:$D$15,A6,Clean!$I$2:$I$15,"Refund")</f>
        <v/>
      </c>
      <c r="F6" s="14">
        <f>IF(C6=0,0,B6/C6)</f>
        <v/>
      </c>
    </row>
    <row r="7">
      <c r="A7" s="2" t="inlineStr">
        <is>
          <t>Unknown</t>
        </is>
      </c>
      <c r="B7" s="13">
        <f>SUMIFS(Clean!$J$2:$J$15,Clean!$D$2:$D$15,A7)</f>
        <v/>
      </c>
      <c r="C7" s="6">
        <f>COUNTIFS(Clean!$D$2:$D$15,A7)</f>
        <v/>
      </c>
      <c r="D7" s="6">
        <f>COUNTIFS(Clean!$D$2:$D$15,A7,Clean!$I$2:$I$15,"Completed")</f>
        <v/>
      </c>
      <c r="E7" s="6">
        <f>COUNTIFS(Clean!$D$2:$D$15,A7,Clean!$I$2:$I$15,"Refund")</f>
        <v/>
      </c>
      <c r="F7" s="14">
        <f>IF(C7=0,0,B7/C7)</f>
        <v/>
      </c>
    </row>
    <row r="8">
      <c r="A8" s="10" t="inlineStr">
        <is>
          <t>Total</t>
        </is>
      </c>
      <c r="B8" s="15">
        <f>SUM(B3:B7)</f>
        <v/>
      </c>
      <c r="C8" s="11">
        <f>SUM(C3:C7)</f>
        <v/>
      </c>
      <c r="D8" s="11">
        <f>SUM(D3:D7)</f>
        <v/>
      </c>
      <c r="E8" s="11">
        <f>SUM(E3:E7)</f>
        <v/>
      </c>
      <c r="F8" s="16">
        <f>IF(C8=0,0,B8/C8)</f>
        <v/>
      </c>
    </row>
    <row r="9">
      <c r="A9" t="inlineStr">
        <is>
          <t>Check vs Clean total</t>
        </is>
      </c>
      <c r="B9">
        <f>B8-Clean!J17</f>
        <v/>
      </c>
      <c r="C9">
        <f>C8-Clean!G17</f>
        <v/>
      </c>
      <c r="D9" s="4" t="inlineStr">
        <is>
          <t>两项应为 0</t>
        </is>
      </c>
    </row>
    <row r="10"/>
    <row r="11"/>
    <row r="12">
      <c r="A12" s="12" t="inlineStr">
        <is>
          <t>按 Rep 汇总</t>
        </is>
      </c>
    </row>
    <row r="13">
      <c r="A13" s="1" t="inlineStr">
        <is>
          <t>Rep</t>
        </is>
      </c>
      <c r="B13" s="1" t="inlineStr">
        <is>
          <t>Net_Revenue</t>
        </is>
      </c>
      <c r="C13" s="1" t="inlineStr">
        <is>
          <t>Orders</t>
        </is>
      </c>
    </row>
    <row r="14">
      <c r="A14" s="9" t="inlineStr">
        <is>
          <t>Alex Chen</t>
        </is>
      </c>
      <c r="B14" s="17">
        <f>SUMIFS(Clean!$J$2:$J$15,Clean!$E$2:$E$15,A14)</f>
        <v/>
      </c>
      <c r="C14" s="3">
        <f>COUNTIFS(Clean!$E$2:$E$15,A14)</f>
        <v/>
      </c>
    </row>
    <row r="15">
      <c r="A15" s="9" t="inlineStr">
        <is>
          <t>Maria Li</t>
        </is>
      </c>
      <c r="B15" s="17">
        <f>SUMIFS(Clean!$J$2:$J$15,Clean!$E$2:$E$15,A15)</f>
        <v/>
      </c>
      <c r="C15" s="3">
        <f>COUNTIFS(Clean!$E$2:$E$15,A15)</f>
        <v/>
      </c>
    </row>
    <row r="16">
      <c r="A16" s="9" t="inlineStr">
        <is>
          <t>Sam Wu</t>
        </is>
      </c>
      <c r="B16" s="17">
        <f>SUMIFS(Clean!$J$2:$J$15,Clean!$E$2:$E$15,A16)</f>
        <v/>
      </c>
      <c r="C16" s="3">
        <f>COUNTIFS(Clean!$E$2:$E$15,A16)</f>
        <v/>
      </c>
    </row>
    <row r="17">
      <c r="A17" s="9" t="inlineStr">
        <is>
          <t>Nina Ko</t>
        </is>
      </c>
      <c r="B17" s="17">
        <f>SUMIFS(Clean!$J$2:$J$15,Clean!$E$2:$E$15,A17)</f>
        <v/>
      </c>
      <c r="C17" s="3">
        <f>COUNTIFS(Clean!$E$2:$E$15,A17)</f>
        <v/>
      </c>
    </row>
    <row r="18">
      <c r="A18" s="9" t="inlineStr">
        <is>
          <t>Jordan</t>
        </is>
      </c>
      <c r="B18" s="17">
        <f>SUMIFS(Clean!$J$2:$J$15,Clean!$E$2:$E$15,A18)</f>
        <v/>
      </c>
      <c r="C18" s="3">
        <f>COUNTIFS(Clean!$E$2:$E$15,A18)</f>
        <v/>
      </c>
    </row>
    <row r="19">
      <c r="A19" t="inlineStr">
        <is>
          <t>Total</t>
        </is>
      </c>
      <c r="B19">
        <f>SUM(B14:B18)</f>
        <v/>
      </c>
      <c r="C19">
        <f>SUM(C14:C18)</f>
        <v/>
      </c>
    </row>
    <row r="20"/>
    <row r="21">
      <c r="A21" s="12" t="inlineStr">
        <is>
          <t>按 Product 汇总</t>
        </is>
      </c>
    </row>
    <row r="22">
      <c r="A22" s="1" t="inlineStr">
        <is>
          <t>Product</t>
        </is>
      </c>
      <c r="B22" s="1" t="inlineStr">
        <is>
          <t>Net_Revenue</t>
        </is>
      </c>
      <c r="C22" s="1" t="inlineStr">
        <is>
          <t>Orders</t>
        </is>
      </c>
    </row>
    <row r="23">
      <c r="A23" s="9" t="inlineStr">
        <is>
          <t>Alpha</t>
        </is>
      </c>
      <c r="B23" s="17">
        <f>SUMIFS(Clean!$J$2:$J$15,Clean!$F$2:$F$15,A23)</f>
        <v/>
      </c>
      <c r="C23" s="3">
        <f>COUNTIFS(Clean!$F$2:$F$15,A23)</f>
        <v/>
      </c>
    </row>
    <row r="24">
      <c r="A24" s="9" t="inlineStr">
        <is>
          <t>Beta</t>
        </is>
      </c>
      <c r="B24" s="17">
        <f>SUMIFS(Clean!$J$2:$J$15,Clean!$F$2:$F$15,A24)</f>
        <v/>
      </c>
      <c r="C24" s="3">
        <f>COUNTIFS(Clean!$F$2:$F$15,A24)</f>
        <v/>
      </c>
    </row>
    <row r="25">
      <c r="A25" s="9" t="inlineStr">
        <is>
          <t>Gamma</t>
        </is>
      </c>
      <c r="B25" s="17">
        <f>SUMIFS(Clean!$J$2:$J$15,Clean!$F$2:$F$15,A25)</f>
        <v/>
      </c>
      <c r="C25" s="3">
        <f>COUNTIFS(Clean!$F$2:$F$15,A25)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27" customWidth="1" min="3" max="3"/>
    <col width="35" customWidth="1" min="4" max="4"/>
    <col width="45" customWidth="1" min="5" max="5"/>
    <col width="26" customWidth="1" min="6" max="6"/>
  </cols>
  <sheetData>
    <row r="1">
      <c r="A1" s="1" t="inlineStr">
        <is>
          <t>Order_ID</t>
        </is>
      </c>
      <c r="B1" s="1" t="inlineStr">
        <is>
          <t>Raw_Row</t>
        </is>
      </c>
      <c r="C1" s="1" t="inlineStr">
        <is>
          <t>Exception_Type</t>
        </is>
      </c>
      <c r="D1" s="1" t="inlineStr">
        <is>
          <t>Detail</t>
        </is>
      </c>
      <c r="E1" s="1" t="inlineStr">
        <is>
          <t>Action_Taken</t>
        </is>
      </c>
      <c r="F1" s="1" t="inlineStr">
        <is>
          <t>Needs_Review</t>
        </is>
      </c>
    </row>
    <row r="2">
      <c r="A2" s="2" t="n">
        <v>1007</v>
      </c>
      <c r="B2" s="2" t="n">
        <v>9</v>
      </c>
      <c r="C2" s="2" t="inlineStr">
        <is>
          <t>Exact duplicate</t>
        </is>
      </c>
      <c r="D2" s="2" t="inlineStr">
        <is>
          <t>与 Raw 第 8 行所有字段完全相同</t>
        </is>
      </c>
      <c r="E2" s="2" t="inlineStr">
        <is>
          <t>剔除第 9 行，保留第 8 行</t>
        </is>
      </c>
      <c r="F2" s="2" t="inlineStr">
        <is>
          <t>No</t>
        </is>
      </c>
    </row>
    <row r="3">
      <c r="A3" s="2" t="n">
        <v>1009</v>
      </c>
      <c r="B3" s="2" t="n">
        <v>11</v>
      </c>
      <c r="C3" s="2" t="inlineStr">
        <is>
          <t>Missing region</t>
        </is>
      </c>
      <c r="D3" s="2" t="inlineStr">
        <is>
          <t>Region 为空</t>
        </is>
      </c>
      <c r="E3" s="2" t="inlineStr">
        <is>
          <t>Clean 中写 Unknown；收入 1,400 计入 Unknown</t>
        </is>
      </c>
      <c r="F3" s="2" t="inlineStr">
        <is>
          <t>Yes - 需销售运营补录区域</t>
        </is>
      </c>
    </row>
    <row r="4">
      <c r="A4" s="2" t="n">
        <v>1005</v>
      </c>
      <c r="B4" s="2" t="n">
        <v>6</v>
      </c>
      <c r="C4" s="2" t="inlineStr">
        <is>
          <t>Refund (negative units)</t>
        </is>
      </c>
      <c r="D4" s="2" t="inlineStr">
        <is>
          <t>Units=-2，Status=Refund</t>
        </is>
      </c>
      <c r="E4" s="2" t="inlineStr">
        <is>
          <t>净收入 = -ABS(-2)×120 = -240</t>
        </is>
      </c>
      <c r="F4" s="2" t="inlineStr">
        <is>
          <t>No</t>
        </is>
      </c>
    </row>
    <row r="5">
      <c r="A5" s="2" t="n">
        <v>1014</v>
      </c>
      <c r="B5" s="2" t="n">
        <v>16</v>
      </c>
      <c r="C5" s="2" t="inlineStr">
        <is>
          <t>Refund (negative units)</t>
        </is>
      </c>
      <c r="D5" s="2" t="inlineStr">
        <is>
          <t>Units=-3，Status=Refund</t>
        </is>
      </c>
      <c r="E5" s="2" t="inlineStr">
        <is>
          <t>净收入 = -ABS(-3)×120 = -360</t>
        </is>
      </c>
      <c r="F5" s="2" t="inlineStr">
        <is>
          <t>No</t>
        </is>
      </c>
    </row>
    <row r="6">
      <c r="A6" s="2" t="n">
        <v>1004</v>
      </c>
      <c r="B6" s="2" t="n">
        <v>5</v>
      </c>
      <c r="C6" s="2" t="inlineStr">
        <is>
          <t>Cancelled</t>
        </is>
      </c>
      <c r="D6" s="2" t="inlineStr">
        <is>
          <t>Status=Cancelled</t>
        </is>
      </c>
      <c r="E6" s="2" t="inlineStr">
        <is>
          <t>净收入 0</t>
        </is>
      </c>
      <c r="F6" s="2" t="inlineStr">
        <is>
          <t>No</t>
        </is>
      </c>
    </row>
    <row r="7">
      <c r="A7" s="2" t="n">
        <v>1011</v>
      </c>
      <c r="B7" s="2" t="n">
        <v>13</v>
      </c>
      <c r="C7" s="2" t="inlineStr">
        <is>
          <t>Pending</t>
        </is>
      </c>
      <c r="D7" s="2" t="inlineStr">
        <is>
          <t>Status=Pending</t>
        </is>
      </c>
      <c r="E7" s="2" t="inlineStr">
        <is>
          <t>净收入 0；转 Completed 后需重算</t>
        </is>
      </c>
      <c r="F7" s="2" t="inlineStr">
        <is>
          <t>Yes - 跟踪状态</t>
        </is>
      </c>
    </row>
    <row r="8">
      <c r="A8" s="2" t="n">
        <v>1002</v>
      </c>
      <c r="B8" s="2" t="n">
        <v>3</v>
      </c>
      <c r="C8" s="2" t="inlineStr">
        <is>
          <t>Date format</t>
        </is>
      </c>
      <c r="D8" s="2" t="inlineStr">
        <is>
          <t>7/1/2026 → 2026-07-01</t>
        </is>
      </c>
      <c r="E8" s="2" t="inlineStr">
        <is>
          <t>已标准化（按 M/D/YYYY 解读）</t>
        </is>
      </c>
      <c r="F8" s="2" t="inlineStr">
        <is>
          <t>Yes - 确认 M/D 而非 D/M</t>
        </is>
      </c>
    </row>
    <row r="9">
      <c r="A9" s="2" t="n">
        <v>1003</v>
      </c>
      <c r="B9" s="2" t="n">
        <v>4</v>
      </c>
      <c r="C9" s="2" t="inlineStr">
        <is>
          <t>Date format</t>
        </is>
      </c>
      <c r="D9" s="2" t="inlineStr">
        <is>
          <t>2026/07/02 → 2026-07-02</t>
        </is>
      </c>
      <c r="E9" s="2" t="inlineStr">
        <is>
          <t>已标准化</t>
        </is>
      </c>
      <c r="F9" s="2" t="inlineStr">
        <is>
          <t>No</t>
        </is>
      </c>
    </row>
    <row r="10">
      <c r="A10" s="2" t="n">
        <v>1004</v>
      </c>
      <c r="B10" s="2" t="n">
        <v>5</v>
      </c>
      <c r="C10" s="2" t="inlineStr">
        <is>
          <t>Date format</t>
        </is>
      </c>
      <c r="D10" s="2" t="inlineStr">
        <is>
          <t>02-Jul-2026 → 2026-07-02</t>
        </is>
      </c>
      <c r="E10" s="2" t="inlineStr">
        <is>
          <t>已标准化</t>
        </is>
      </c>
      <c r="F10" s="2" t="inlineStr">
        <is>
          <t>No</t>
        </is>
      </c>
    </row>
    <row r="11">
      <c r="A11" s="2" t="n">
        <v>1001</v>
      </c>
      <c r="B11" s="2" t="n">
        <v>2</v>
      </c>
      <c r="C11" s="2" t="inlineStr">
        <is>
          <t>Rep variant</t>
        </is>
      </c>
      <c r="D11" s="2" t="inlineStr">
        <is>
          <t>A. Chen → Alex Chen</t>
        </is>
      </c>
      <c r="E11" s="2" t="inlineStr">
        <is>
          <t>按映射表标准化</t>
        </is>
      </c>
      <c r="F11" s="2" t="inlineStr">
        <is>
          <t>No</t>
        </is>
      </c>
    </row>
    <row r="12">
      <c r="A12" s="2" t="n">
        <v>1010</v>
      </c>
      <c r="B12" s="2" t="n">
        <v>12</v>
      </c>
      <c r="C12" s="2" t="inlineStr">
        <is>
          <t>Rep variant</t>
        </is>
      </c>
      <c r="D12" s="2" t="inlineStr">
        <is>
          <t>A Chen → Alex Chen</t>
        </is>
      </c>
      <c r="E12" s="2" t="inlineStr">
        <is>
          <t>按映射表标准化</t>
        </is>
      </c>
      <c r="F12" s="2" t="inlineStr">
        <is>
          <t>No</t>
        </is>
      </c>
    </row>
    <row r="13">
      <c r="A13" s="2" t="n">
        <v>1008</v>
      </c>
      <c r="B13" s="2" t="n">
        <v>10</v>
      </c>
      <c r="C13" s="2" t="inlineStr">
        <is>
          <t>Rep variant</t>
        </is>
      </c>
      <c r="D13" s="2" t="inlineStr">
        <is>
          <t>Nina K. → Nina Ko</t>
        </is>
      </c>
      <c r="E13" s="2" t="inlineStr">
        <is>
          <t>按映射表标准化</t>
        </is>
      </c>
      <c r="F13" s="2" t="inlineStr">
        <is>
          <t>No</t>
        </is>
      </c>
    </row>
    <row r="14">
      <c r="A14" s="2" t="n">
        <v>1002</v>
      </c>
      <c r="B14" s="2" t="n">
        <v>3</v>
      </c>
      <c r="C14" s="2" t="inlineStr">
        <is>
          <t>Region case</t>
        </is>
      </c>
      <c r="D14" s="2" t="inlineStr">
        <is>
          <t>north → North</t>
        </is>
      </c>
      <c r="E14" s="2" t="inlineStr">
        <is>
          <t>PROPER() 标准化</t>
        </is>
      </c>
      <c r="F14" s="2" t="inlineStr">
        <is>
          <t>No</t>
        </is>
      </c>
    </row>
    <row r="15">
      <c r="A15" s="2" t="n">
        <v>1003</v>
      </c>
      <c r="B15" s="2" t="n">
        <v>4</v>
      </c>
      <c r="C15" s="2" t="inlineStr">
        <is>
          <t>Region case</t>
        </is>
      </c>
      <c r="D15" s="2" t="inlineStr">
        <is>
          <t>SOUTH → South</t>
        </is>
      </c>
      <c r="E15" s="2" t="inlineStr">
        <is>
          <t>PROPER() 标准化</t>
        </is>
      </c>
      <c r="F15" s="2" t="inlineStr">
        <is>
          <t>No</t>
        </is>
      </c>
    </row>
    <row r="16">
      <c r="A16" s="2" t="n">
        <v>1006</v>
      </c>
      <c r="B16" s="2" t="n">
        <v>7</v>
      </c>
      <c r="C16" s="2" t="inlineStr">
        <is>
          <t>Region case</t>
        </is>
      </c>
      <c r="D16" s="2" t="inlineStr">
        <is>
          <t>east → East</t>
        </is>
      </c>
      <c r="E16" s="2" t="inlineStr">
        <is>
          <t>PROPER() 标准化</t>
        </is>
      </c>
      <c r="F16" s="2" t="inlineStr">
        <is>
          <t>No</t>
        </is>
      </c>
    </row>
    <row r="17">
      <c r="A17" s="2" t="n">
        <v>1008</v>
      </c>
      <c r="B17" s="2" t="n">
        <v>10</v>
      </c>
      <c r="C17" s="2" t="inlineStr">
        <is>
          <t>Region case</t>
        </is>
      </c>
      <c r="D17" s="2" t="inlineStr">
        <is>
          <t>west → West</t>
        </is>
      </c>
      <c r="E17" s="2" t="inlineStr">
        <is>
          <t>PROPER() 标准化</t>
        </is>
      </c>
      <c r="F17" s="2" t="inlineStr">
        <is>
          <t>No</t>
        </is>
      </c>
    </row>
    <row r="18">
      <c r="A18" s="2" t="n">
        <v>1001</v>
      </c>
      <c r="B18" s="2" t="inlineStr">
        <is>
          <t>2/12</t>
        </is>
      </c>
      <c r="C18" s="2" t="inlineStr">
        <is>
          <t>Similar but NOT duplicate</t>
        </is>
      </c>
      <c r="D18" s="2" t="inlineStr">
        <is>
          <t>1001 与 1010 除日期/ID 外字段相同</t>
        </is>
      </c>
      <c r="E18" s="2" t="inlineStr">
        <is>
          <t>均保留（非完全重复）</t>
        </is>
      </c>
      <c r="F18" s="2" t="inlineStr">
        <is>
          <t>No</t>
        </is>
      </c>
    </row>
    <row r="19"/>
    <row r="20">
      <c r="A20" s="18" t="inlineStr">
        <is>
          <t>公式核对：Raw 中 Keep_Flag=Drop 的行数</t>
        </is>
      </c>
      <c r="D20" s="3">
        <f>COUNTIF(Raw!K2:K16,"Drop-exact duplicate")</f>
        <v/>
      </c>
    </row>
    <row r="21">
      <c r="A21" s="18" t="inlineStr">
        <is>
          <t>公式核对：Clean 中 Region=Unknown 的行数</t>
        </is>
      </c>
      <c r="D21" s="3">
        <f>COUNTIF(Clean!D2:D15,"Unknown")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2026-09-02T02:01:20Z</dcterms:created>
  <dcterms:modified xmlns:dcterms="http://purl.org/dc/terms/" xmlns:xsi="http://www.w3.org/2001/XMLSchema-instance" xsi:type="dcterms:W3CDTF">2026-09-02T02:01:20Z</dcterms:modified>
</cp:coreProperties>
</file>