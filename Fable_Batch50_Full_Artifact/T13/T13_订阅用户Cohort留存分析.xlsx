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etention" sheetId="2" state="visible" r:id="rId2"/>
    <sheet xmlns:r="http://schemas.openxmlformats.org/officeDocument/2006/relationships" name="Weighted Curve" sheetId="3" state="visible" r:id="rId3"/>
    <sheet xmlns:r="http://schemas.openxmlformats.org/officeDocument/2006/relationships" name="Concl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Microsoft YaHei"/>
      <b val="1"/>
      <color rgb="001F3864"/>
      <sz val="13"/>
    </font>
    <font>
      <name val="Microsoft YaHei"/>
      <b val="1"/>
      <color rgb="00FFFFFF"/>
    </font>
    <font>
      <name val="Microsoft YaHei"/>
      <i val="1"/>
      <color rgb="00595959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0" borderId="0" applyAlignment="1" pivotButton="0" quotePrefix="0" xfId="0">
      <alignment/>
    </xf>
    <xf numFmtId="164" fontId="0" fillId="0" borderId="0" pivotButton="0" quotePrefix="0" xfId="0"/>
    <xf numFmtId="164" fontId="0" fillId="4" borderId="1" pivotButton="0" quotePrefix="0" xfId="0"/>
    <xf numFmtId="0" fontId="0" fillId="4" borderId="0" pivotButton="0" quotePrefix="0" xfId="0"/>
    <xf numFmtId="164" fontId="0" fillId="4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Weighted Retention Curve</a:t>
            </a:r>
          </a:p>
        </rich>
      </tx>
    </title>
    <plotArea>
      <lineChart>
        <grouping val="standard"/>
        <ser>
          <idx val="0"/>
          <order val="0"/>
          <tx>
            <strRef>
              <f>'Weighted Curve'!D2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'Weighted Curve'!$A$3:$A$6</f>
            </numRef>
          </cat>
          <val>
            <numRef>
              <f>'Weighted Curve'!$D$3:$D$6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0.8"/>
          <min val="0.4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Retention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Retention by Cohort (M1–M4)</a:t>
            </a:r>
          </a:p>
        </rich>
      </tx>
    </title>
    <plotArea>
      <lineChart>
        <grouping val="standard"/>
        <ser>
          <idx val="0"/>
          <order val="0"/>
          <tx>
            <v>2026-Jan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'Retention'!$D$2:$G$2</f>
            </numRef>
          </cat>
          <val>
            <numRef>
              <f>'Retention'!$D$3:$G$3</f>
            </numRef>
          </val>
        </ser>
        <ser>
          <idx val="1"/>
          <order val="1"/>
          <tx>
            <v>2026-Feb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'Retention'!$D$2:$G$2</f>
            </numRef>
          </cat>
          <val>
            <numRef>
              <f>'Retention'!$D$4:$G$4</f>
            </numRef>
          </val>
        </ser>
        <ser>
          <idx val="2"/>
          <order val="2"/>
          <tx>
            <v>2026-Mar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'Retention'!$D$2:$G$2</f>
            </numRef>
          </cat>
          <val>
            <numRef>
              <f>'Retention'!$D$5:$G$5</f>
            </numRef>
          </val>
        </ser>
        <ser>
          <idx val="3"/>
          <order val="3"/>
          <tx>
            <v>2026-Apr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'Retention'!$D$2:$G$2</f>
            </numRef>
          </cat>
          <val>
            <numRef>
              <f>'Retention'!$D$6:$G$6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0.8"/>
          <min val="0.4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>
      <c r="A1" s="1" t="inlineStr">
        <is>
          <t>Cohort 原始数据（活跃人数；空白 = 尚未观测）</t>
        </is>
      </c>
    </row>
    <row r="2">
      <c r="A2" s="2" t="inlineStr">
        <is>
          <t>Cohort</t>
        </is>
      </c>
      <c r="B2" s="2" t="inlineStr">
        <is>
          <t>Signups/M0</t>
        </is>
      </c>
      <c r="C2" s="2" t="inlineStr">
        <is>
          <t>M1 Active</t>
        </is>
      </c>
      <c r="D2" s="2" t="inlineStr">
        <is>
          <t>M2 Active</t>
        </is>
      </c>
      <c r="E2" s="2" t="inlineStr">
        <is>
          <t>M3 Active</t>
        </is>
      </c>
      <c r="F2" s="2" t="inlineStr">
        <is>
          <t>M4 Active</t>
        </is>
      </c>
    </row>
    <row r="3">
      <c r="A3" s="3" t="inlineStr">
        <is>
          <t>2026-Jan</t>
        </is>
      </c>
      <c r="B3" s="3" t="n">
        <v>1000</v>
      </c>
      <c r="C3" s="3" t="n">
        <v>720</v>
      </c>
      <c r="D3" s="3" t="n">
        <v>610</v>
      </c>
      <c r="E3" s="3" t="n">
        <v>550</v>
      </c>
      <c r="F3" s="3" t="n">
        <v>500</v>
      </c>
    </row>
    <row r="4">
      <c r="A4" s="3" t="inlineStr">
        <is>
          <t>2026-Feb</t>
        </is>
      </c>
      <c r="B4" s="3" t="n">
        <v>1200</v>
      </c>
      <c r="C4" s="3" t="n">
        <v>840</v>
      </c>
      <c r="D4" s="3" t="n">
        <v>690</v>
      </c>
      <c r="E4" s="3" t="n">
        <v>600</v>
      </c>
      <c r="F4" s="3" t="n"/>
    </row>
    <row r="5">
      <c r="A5" s="3" t="inlineStr">
        <is>
          <t>2026-Mar</t>
        </is>
      </c>
      <c r="B5" s="3" t="n">
        <v>900</v>
      </c>
      <c r="C5" s="3" t="n">
        <v>630</v>
      </c>
      <c r="D5" s="3" t="n">
        <v>520</v>
      </c>
      <c r="E5" s="3" t="n"/>
      <c r="F5" s="3" t="n"/>
    </row>
    <row r="6">
      <c r="A6" s="3" t="inlineStr">
        <is>
          <t>2026-Apr</t>
        </is>
      </c>
      <c r="B6" s="3" t="n">
        <v>1100</v>
      </c>
      <c r="C6" s="3" t="n">
        <v>770</v>
      </c>
      <c r="D6" s="3" t="n"/>
      <c r="E6" s="3" t="n"/>
      <c r="F6" s="3" t="n"/>
    </row>
    <row r="7"/>
    <row r="8">
      <c r="A8" s="4" t="inlineStr">
        <is>
          <t>业务事件：2 月 15 日上线新手引导；3 月 10 日起首月折扣由 30% 降至 15%。无随机实验或用户级控制变量。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8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留存率热力图（留存率 = 该月活跃 / 注册人数；未观测月份留空）</t>
        </is>
      </c>
    </row>
    <row r="2">
      <c r="A2" s="2" t="inlineStr">
        <is>
          <t>Cohort</t>
        </is>
      </c>
      <c r="B2" s="2" t="inlineStr">
        <is>
          <t>Signups</t>
        </is>
      </c>
      <c r="C2" s="2" t="inlineStr">
        <is>
          <t>M0</t>
        </is>
      </c>
      <c r="D2" s="2" t="inlineStr">
        <is>
          <t>M1</t>
        </is>
      </c>
      <c r="E2" s="2" t="inlineStr">
        <is>
          <t>M2</t>
        </is>
      </c>
      <c r="F2" s="2" t="inlineStr">
        <is>
          <t>M3</t>
        </is>
      </c>
      <c r="G2" s="2" t="inlineStr">
        <is>
          <t>M4</t>
        </is>
      </c>
    </row>
    <row r="3">
      <c r="A3">
        <f>Data!A3</f>
        <v/>
      </c>
      <c r="B3">
        <f>Data!B3</f>
        <v/>
      </c>
      <c r="C3" s="5" t="n">
        <v>1</v>
      </c>
      <c r="D3" s="6">
        <f>IF(Data!C3="","",Data!C3/Data!$B3)</f>
        <v/>
      </c>
      <c r="E3" s="6">
        <f>IF(Data!D3="","",Data!D3/Data!$B3)</f>
        <v/>
      </c>
      <c r="F3" s="6">
        <f>IF(Data!E3="","",Data!E3/Data!$B3)</f>
        <v/>
      </c>
      <c r="G3" s="6">
        <f>IF(Data!F3="","",Data!F3/Data!$B3)</f>
        <v/>
      </c>
    </row>
    <row r="4">
      <c r="A4">
        <f>Data!A4</f>
        <v/>
      </c>
      <c r="B4">
        <f>Data!B4</f>
        <v/>
      </c>
      <c r="C4" s="5" t="n">
        <v>1</v>
      </c>
      <c r="D4" s="6">
        <f>IF(Data!C4="","",Data!C4/Data!$B4)</f>
        <v/>
      </c>
      <c r="E4" s="6">
        <f>IF(Data!D4="","",Data!D4/Data!$B4)</f>
        <v/>
      </c>
      <c r="F4" s="6">
        <f>IF(Data!E4="","",Data!E4/Data!$B4)</f>
        <v/>
      </c>
      <c r="G4" s="6">
        <f>IF(Data!F4="","",Data!F4/Data!$B4)</f>
        <v/>
      </c>
    </row>
    <row r="5">
      <c r="A5">
        <f>Data!A5</f>
        <v/>
      </c>
      <c r="B5">
        <f>Data!B5</f>
        <v/>
      </c>
      <c r="C5" s="5" t="n">
        <v>1</v>
      </c>
      <c r="D5" s="6">
        <f>IF(Data!C5="","",Data!C5/Data!$B5)</f>
        <v/>
      </c>
      <c r="E5" s="6">
        <f>IF(Data!D5="","",Data!D5/Data!$B5)</f>
        <v/>
      </c>
      <c r="F5" s="6">
        <f>IF(Data!E5="","",Data!E5/Data!$B5)</f>
        <v/>
      </c>
      <c r="G5" s="6">
        <f>IF(Data!F5="","",Data!F5/Data!$B5)</f>
        <v/>
      </c>
    </row>
    <row r="6">
      <c r="A6">
        <f>Data!A6</f>
        <v/>
      </c>
      <c r="B6">
        <f>Data!B6</f>
        <v/>
      </c>
      <c r="C6" s="5" t="n">
        <v>1</v>
      </c>
      <c r="D6" s="6">
        <f>IF(Data!C6="","",Data!C6/Data!$B6)</f>
        <v/>
      </c>
      <c r="E6" s="6">
        <f>IF(Data!D6="","",Data!D6/Data!$B6)</f>
        <v/>
      </c>
      <c r="F6" s="6">
        <f>IF(Data!E6="","",Data!E6/Data!$B6)</f>
        <v/>
      </c>
      <c r="G6" s="6">
        <f>IF(Data!F6="","",Data!F6/Data!$B6)</f>
        <v/>
      </c>
    </row>
    <row r="7"/>
    <row r="8">
      <c r="A8" t="inlineStr">
        <is>
          <t>观测到的 cohort 数</t>
        </is>
      </c>
      <c r="D8" s="7">
        <f>COUNT(D3:D6)</f>
        <v/>
      </c>
      <c r="E8" s="7">
        <f>COUNT(E3:E6)</f>
        <v/>
      </c>
      <c r="F8" s="7">
        <f>COUNT(F3:F6)</f>
        <v/>
      </c>
      <c r="G8" s="7">
        <f>COUNT(G3:G6)</f>
        <v/>
      </c>
    </row>
    <row r="9"/>
    <row r="10">
      <c r="A10" s="4" t="inlineStr">
        <is>
          <t>读法：同一列自上而下比较不同 cohort 在相同生命周期月份的留存；空白表示尚未到观测时间，不是 0。</t>
        </is>
      </c>
    </row>
  </sheetData>
  <conditionalFormatting sqref="C3:G6">
    <cfRule type="colorScale" priority="1">
      <colorScale>
        <cfvo type="num" val="0.45"/>
        <cfvo type="num" val="0.6"/>
        <cfvo type="num" val="0.7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60" customWidth="1" min="1" max="1"/>
    <col width="33" customWidth="1" min="2" max="2"/>
    <col width="29" customWidth="1" min="3" max="3"/>
    <col width="20" customWidth="1" min="4" max="4"/>
    <col width="14" customWidth="1" min="5" max="5"/>
    <col width="36" customWidth="1" min="6" max="6"/>
  </cols>
  <sheetData>
    <row r="1">
      <c r="A1" s="1" t="inlineStr">
        <is>
          <t>加权组合留存曲线（分子 = 可用 cohort 活跃人数之和；分母 = 这些 cohort 的注册人数之和）</t>
        </is>
      </c>
    </row>
    <row r="2">
      <c r="A2" s="2" t="inlineStr">
        <is>
          <t>Month</t>
        </is>
      </c>
      <c r="B2" s="2" t="inlineStr">
        <is>
          <t>Active (sum, available cohorts)</t>
        </is>
      </c>
      <c r="C2" s="2" t="inlineStr">
        <is>
          <t>Signups (sum, same cohorts)</t>
        </is>
      </c>
      <c r="D2" s="2" t="inlineStr">
        <is>
          <t>Weighted Retention</t>
        </is>
      </c>
      <c r="E2" s="2" t="inlineStr">
        <is>
          <t>Cohorts used</t>
        </is>
      </c>
      <c r="F2" s="2" t="inlineStr">
        <is>
          <t>Simple average (for contrast only)</t>
        </is>
      </c>
    </row>
    <row r="3">
      <c r="A3" t="inlineStr">
        <is>
          <t>M1</t>
        </is>
      </c>
      <c r="B3" s="7">
        <f>SUM(Data!C3:C6)</f>
        <v/>
      </c>
      <c r="C3" s="7">
        <f>SUMIF(Data!C3:C6,"&lt;&gt;",Data!B3:B6)</f>
        <v/>
      </c>
      <c r="D3" s="8">
        <f>IF(C3=0,"",B3/C3)</f>
        <v/>
      </c>
      <c r="E3" s="7">
        <f>COUNT(Data!C3:C6)</f>
        <v/>
      </c>
      <c r="F3" s="8">
        <f>AVERAGE(Retention!D3:D6)</f>
        <v/>
      </c>
    </row>
    <row r="4">
      <c r="A4" t="inlineStr">
        <is>
          <t>M2</t>
        </is>
      </c>
      <c r="B4" s="7">
        <f>SUM(Data!D3:D6)</f>
        <v/>
      </c>
      <c r="C4" s="7">
        <f>SUMIF(Data!D3:D6,"&lt;&gt;",Data!B3:B6)</f>
        <v/>
      </c>
      <c r="D4" s="8">
        <f>IF(C4=0,"",B4/C4)</f>
        <v/>
      </c>
      <c r="E4" s="7">
        <f>COUNT(Data!D3:D6)</f>
        <v/>
      </c>
      <c r="F4" s="8">
        <f>AVERAGE(Retention!E3:E6)</f>
        <v/>
      </c>
    </row>
    <row r="5">
      <c r="A5" t="inlineStr">
        <is>
          <t>M3</t>
        </is>
      </c>
      <c r="B5" s="7">
        <f>SUM(Data!E3:E6)</f>
        <v/>
      </c>
      <c r="C5" s="7">
        <f>SUMIF(Data!E3:E6,"&lt;&gt;",Data!B3:B6)</f>
        <v/>
      </c>
      <c r="D5" s="8">
        <f>IF(C5=0,"",B5/C5)</f>
        <v/>
      </c>
      <c r="E5" s="7">
        <f>COUNT(Data!E3:E6)</f>
        <v/>
      </c>
      <c r="F5" s="8">
        <f>AVERAGE(Retention!F3:F6)</f>
        <v/>
      </c>
    </row>
    <row r="6">
      <c r="A6" t="inlineStr">
        <is>
          <t>M4</t>
        </is>
      </c>
      <c r="B6" s="7">
        <f>SUM(Data!F3:F6)</f>
        <v/>
      </c>
      <c r="C6" s="7">
        <f>SUMIF(Data!F3:F6,"&lt;&gt;",Data!B3:B6)</f>
        <v/>
      </c>
      <c r="D6" s="8">
        <f>IF(C6=0,"",B6/C6)</f>
        <v/>
      </c>
      <c r="E6" s="7">
        <f>COUNT(Data!F3:F6)</f>
        <v/>
      </c>
      <c r="F6" s="8">
        <f>AVERAGE(Retention!G3:G6)</f>
        <v/>
      </c>
    </row>
    <row r="7"/>
    <row r="8">
      <c r="A8" t="inlineStr">
        <is>
          <t>M0</t>
        </is>
      </c>
      <c r="D8" s="5" t="n">
        <v>1</v>
      </c>
    </row>
    <row r="9"/>
    <row r="10">
      <c r="A10" s="4" t="inlineStr">
        <is>
          <t>注意：M4 只有 1 月 cohort 可观测，加权 = 简单平均；随后各月分母不同，加权值与简单平均可能不同。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9" t="inlineStr">
        <is>
          <t>结论</t>
        </is>
      </c>
    </row>
    <row r="2" ht="150" customHeight="1">
      <c r="A2" s="10" t="inlineStr">
        <is>
          <t>结论（≤250 字）：四个 cohort 的 M1 留存稳定在 70–72%，加权 M1 为 70.5%；但更深月份呈现走弱：M2 由 1 月 cohort 的 61.0% 降至 2/3 月的 57.5%/57.8%，M3 由 55.0% 降至 50.0%，加权 M2/M3 为 58.7%/52.3%。2 月 15 日上线的新手引导之后，2 月（部分暴露）与 3 月（完全暴露）cohort 的留存并未高于 1 月 cohort，没有证据表明新手引导改善了留存；同时 3 月 10 日折扣从 30% 降至 15% 与之重叠，且无随机实验与用户级控制变量，无法分离两者影响。建议：按注册日期在 2 月 15 日前后拆分 2 月 cohort，并对 4 月 cohort 追踪 M2/M3 后再判断。</t>
        </is>
      </c>
    </row>
    <row r="4">
      <c r="A4" t="inlineStr">
        <is>
          <t>字数（中文字符+词）</t>
        </is>
      </c>
      <c r="B4" t="n">
        <v>199</v>
      </c>
    </row>
    <row r="5">
      <c r="A5" t="inlineStr">
        <is>
          <t>加权 M1 引用</t>
        </is>
      </c>
      <c r="B5" s="5">
        <f>'Weighted Curve'!D3</f>
        <v/>
      </c>
    </row>
    <row r="6">
      <c r="A6" t="inlineStr">
        <is>
          <t>加权 M2 引用</t>
        </is>
      </c>
      <c r="B6" s="5">
        <f>'Weighted Curve'!D4</f>
        <v/>
      </c>
    </row>
    <row r="7">
      <c r="A7" t="inlineStr">
        <is>
          <t>加权 M3 引用</t>
        </is>
      </c>
      <c r="B7" s="5">
        <f>'Weighted Curve'!D5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2026-09-02T02:01:20Z</dcterms:created>
  <dcterms:modified xmlns:dcterms="http://purl.org/dc/terms/" xmlns:xsi="http://www.w3.org/2001/XMLSchema-instance" xsi:type="dcterms:W3CDTF">2026-09-02T02:01:20Z</dcterms:modified>
</cp:coreProperties>
</file>