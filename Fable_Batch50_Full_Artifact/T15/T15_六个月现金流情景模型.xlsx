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Downside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1F3864"/>
      <sz val="13"/>
    </font>
    <font>
      <name val="Microsoft YaHei"/>
      <b val="1"/>
      <color rgb="00FFFFFF"/>
    </font>
    <font>
      <name val="Microsoft YaHei"/>
      <i val="1"/>
      <color rgb="00595959"/>
    </font>
    <font/>
    <font>
      <b val="1"/>
    </font>
    <font>
      <name val="Microsoft YaHe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9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164" fontId="0" fillId="2" borderId="1" pivotButton="0" quotePrefix="0" xfId="0"/>
    <xf numFmtId="0" fontId="3" fillId="0" borderId="0" applyAlignment="1" pivotButton="0" quotePrefix="0" xfId="0">
      <alignment/>
    </xf>
    <xf numFmtId="0" fontId="4" fillId="0" borderId="0" pivotButton="0" quotePrefix="0" xfId="0"/>
    <xf numFmtId="164" fontId="0" fillId="4" borderId="1" pivotButton="0" quotePrefix="0" xfId="0"/>
    <xf numFmtId="0" fontId="5" fillId="0" borderId="0" pivotButton="0" quotePrefix="0" xfId="0"/>
    <xf numFmtId="164" fontId="0" fillId="4" borderId="0" pivotButton="0" quotePrefix="0" xfId="0"/>
    <xf numFmtId="0" fontId="0" fillId="4" borderId="0" pivotButton="0" quotePrefix="0" xfId="0"/>
    <xf numFmtId="0" fontId="6" fillId="0" borderId="0" pivotButton="0" quotePrefix="0" xfId="0"/>
    <xf numFmtId="165" fontId="0" fillId="4" borderId="0" pivotButton="0" quotePrefix="0" xfId="0"/>
    <xf numFmtId="165" fontId="5" fillId="4" borderId="0" pivotButton="0" quotePrefix="0" xfId="0"/>
    <xf numFmtId="9" fontId="0" fillId="2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月末现金余额：Base vs Downside vs 最低线 0.8（百万元）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'Dashboard'!$A$13:$A$18</f>
            </numRef>
          </cat>
          <val>
            <numRef>
              <f>'Dashboard'!$B$13:$B$18</f>
            </numRef>
          </val>
        </ser>
        <ser>
          <idx val="1"/>
          <order val="1"/>
          <tx>
            <strRef>
              <f>'Dashboard'!C12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'Dashboard'!$A$13:$A$18</f>
            </numRef>
          </cat>
          <val>
            <numRef>
              <f>'Dashboard'!$C$13:$C$18</f>
            </numRef>
          </val>
        </ser>
        <ser>
          <idx val="2"/>
          <order val="2"/>
          <tx>
            <strRef>
              <f>'Dashboard'!D12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'Dashboard'!$A$13:$A$18</f>
            </numRef>
          </cat>
          <val>
            <numRef>
              <f>'Dashboard'!$D$13:$D$18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百万元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假设（百万元；黄色=输入）</t>
        </is>
      </c>
    </row>
    <row r="2"/>
    <row r="3">
      <c r="A3" t="inlineStr">
        <is>
          <t>期初现金</t>
        </is>
      </c>
      <c r="B3" s="2" t="n">
        <v>2</v>
      </c>
    </row>
    <row r="4">
      <c r="A4" t="inlineStr">
        <is>
          <t>变动成本率（占收入）</t>
        </is>
      </c>
      <c r="B4" s="3" t="n">
        <v>0.32</v>
      </c>
    </row>
    <row r="5">
      <c r="A5" t="inlineStr">
        <is>
          <t>最低现金余额</t>
        </is>
      </c>
      <c r="B5" s="2" t="n">
        <v>0.8</v>
      </c>
    </row>
    <row r="6">
      <c r="A6" t="inlineStr">
        <is>
          <t>下行情景收入下降幅度</t>
        </is>
      </c>
      <c r="B6" s="3" t="n">
        <v>0.15</v>
      </c>
    </row>
    <row r="7">
      <c r="A7" t="inlineStr">
        <is>
          <t>收入收现比例（当月）</t>
        </is>
      </c>
      <c r="B7" s="3" t="n">
        <v>1</v>
      </c>
    </row>
    <row r="8"/>
    <row r="9"/>
    <row r="10">
      <c r="A10" s="4" t="inlineStr">
        <is>
          <t>月份</t>
        </is>
      </c>
      <c r="B10" s="4" t="inlineStr">
        <is>
          <t>M1</t>
        </is>
      </c>
      <c r="C10" s="4" t="inlineStr">
        <is>
          <t>M2</t>
        </is>
      </c>
      <c r="D10" s="4" t="inlineStr">
        <is>
          <t>M3</t>
        </is>
      </c>
      <c r="E10" s="4" t="inlineStr">
        <is>
          <t>M4</t>
        </is>
      </c>
      <c r="F10" s="4" t="inlineStr">
        <is>
          <t>M5</t>
        </is>
      </c>
      <c r="G10" s="4" t="inlineStr">
        <is>
          <t>M6</t>
        </is>
      </c>
    </row>
    <row r="11">
      <c r="A11" t="inlineStr">
        <is>
          <t>收入</t>
        </is>
      </c>
      <c r="B11" s="5" t="n">
        <v>1.2</v>
      </c>
      <c r="C11" s="5" t="n">
        <v>1.3</v>
      </c>
      <c r="D11" s="5" t="n">
        <v>1.5</v>
      </c>
      <c r="E11" s="5" t="n">
        <v>1.4</v>
      </c>
      <c r="F11" s="5" t="n">
        <v>1.6</v>
      </c>
      <c r="G11" s="5" t="n">
        <v>1.8</v>
      </c>
    </row>
    <row r="12">
      <c r="A12" t="inlineStr">
        <is>
          <t>固定费用</t>
        </is>
      </c>
      <c r="B12" s="5" t="n">
        <v>0.75</v>
      </c>
      <c r="C12" s="5" t="n">
        <v>0.75</v>
      </c>
      <c r="D12" s="5" t="n">
        <v>0.75</v>
      </c>
      <c r="E12" s="5" t="n">
        <v>0.75</v>
      </c>
      <c r="F12" s="5" t="n">
        <v>0.75</v>
      </c>
      <c r="G12" s="5" t="n">
        <v>0.75</v>
      </c>
    </row>
    <row r="13">
      <c r="A13" t="inlineStr">
        <is>
          <t>资本开支</t>
        </is>
      </c>
      <c r="B13" s="5" t="n">
        <v>0.2</v>
      </c>
      <c r="C13" s="5" t="n">
        <v>0</v>
      </c>
      <c r="D13" s="5" t="n">
        <v>0.5</v>
      </c>
      <c r="E13" s="5" t="n">
        <v>0</v>
      </c>
      <c r="F13" s="5" t="n">
        <v>0.3</v>
      </c>
      <c r="G13" s="5" t="n">
        <v>0</v>
      </c>
    </row>
    <row r="14">
      <c r="A14" t="inlineStr">
        <is>
          <t>融资流入</t>
        </is>
      </c>
      <c r="B14" s="5" t="n">
        <v>0</v>
      </c>
      <c r="C14" s="5" t="n">
        <v>0.5</v>
      </c>
      <c r="D14" s="5" t="n">
        <v>0</v>
      </c>
      <c r="E14" s="5" t="n">
        <v>0</v>
      </c>
      <c r="F14" s="5" t="n">
        <v>0</v>
      </c>
      <c r="G14" s="5" t="n">
        <v>0</v>
      </c>
    </row>
    <row r="15"/>
    <row r="16">
      <c r="A16" s="6" t="inlineStr">
        <is>
          <t>题内规则：收入当月全额收现；变动成本 = 收入×32%；下行情景仅收入 −15%，变动成本随收入变化；月末现金不得低于 0.8。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Base 情景现金流（百万元，保留三位小数；全部为公式）</t>
        </is>
      </c>
    </row>
    <row r="2">
      <c r="A2" s="4" t="inlineStr">
        <is>
          <t>项目</t>
        </is>
      </c>
      <c r="B2" s="4" t="inlineStr">
        <is>
          <t>M1</t>
        </is>
      </c>
      <c r="C2" s="4" t="inlineStr">
        <is>
          <t>M2</t>
        </is>
      </c>
      <c r="D2" s="4" t="inlineStr">
        <is>
          <t>M3</t>
        </is>
      </c>
      <c r="E2" s="4" t="inlineStr">
        <is>
          <t>M4</t>
        </is>
      </c>
      <c r="F2" s="4" t="inlineStr">
        <is>
          <t>M5</t>
        </is>
      </c>
      <c r="G2" s="4" t="inlineStr">
        <is>
          <t>M6</t>
        </is>
      </c>
    </row>
    <row r="3">
      <c r="A3" s="7" t="inlineStr">
        <is>
          <t>收入</t>
        </is>
      </c>
      <c r="B3" s="8">
        <f>Assumptions!B11*Assumptions!$B$7</f>
        <v/>
      </c>
      <c r="C3" s="8">
        <f>Assumptions!C11*Assumptions!$B$7</f>
        <v/>
      </c>
      <c r="D3" s="8">
        <f>Assumptions!D11*Assumptions!$B$7</f>
        <v/>
      </c>
      <c r="E3" s="8">
        <f>Assumptions!E11*Assumptions!$B$7</f>
        <v/>
      </c>
      <c r="F3" s="8">
        <f>Assumptions!F11*Assumptions!$B$7</f>
        <v/>
      </c>
      <c r="G3" s="8">
        <f>Assumptions!G11*Assumptions!$B$7</f>
        <v/>
      </c>
    </row>
    <row r="4">
      <c r="A4" s="7" t="inlineStr">
        <is>
          <t>变动成本</t>
        </is>
      </c>
      <c r="B4" s="8">
        <f>-B3*Assumptions!$B$4</f>
        <v/>
      </c>
      <c r="C4" s="8">
        <f>-C3*Assumptions!$B$4</f>
        <v/>
      </c>
      <c r="D4" s="8">
        <f>-D3*Assumptions!$B$4</f>
        <v/>
      </c>
      <c r="E4" s="8">
        <f>-E3*Assumptions!$B$4</f>
        <v/>
      </c>
      <c r="F4" s="8">
        <f>-F3*Assumptions!$B$4</f>
        <v/>
      </c>
      <c r="G4" s="8">
        <f>-G3*Assumptions!$B$4</f>
        <v/>
      </c>
    </row>
    <row r="5">
      <c r="A5" s="7" t="inlineStr">
        <is>
          <t>固定费用</t>
        </is>
      </c>
      <c r="B5" s="8">
        <f>-Assumptions!B12</f>
        <v/>
      </c>
      <c r="C5" s="8">
        <f>-Assumptions!C12</f>
        <v/>
      </c>
      <c r="D5" s="8">
        <f>-Assumptions!D12</f>
        <v/>
      </c>
      <c r="E5" s="8">
        <f>-Assumptions!E12</f>
        <v/>
      </c>
      <c r="F5" s="8">
        <f>-Assumptions!F12</f>
        <v/>
      </c>
      <c r="G5" s="8">
        <f>-Assumptions!G12</f>
        <v/>
      </c>
    </row>
    <row r="6">
      <c r="A6" s="7" t="inlineStr">
        <is>
          <t>资本开支</t>
        </is>
      </c>
      <c r="B6" s="8">
        <f>-Assumptions!B13</f>
        <v/>
      </c>
      <c r="C6" s="8">
        <f>-Assumptions!C13</f>
        <v/>
      </c>
      <c r="D6" s="8">
        <f>-Assumptions!D13</f>
        <v/>
      </c>
      <c r="E6" s="8">
        <f>-Assumptions!E13</f>
        <v/>
      </c>
      <c r="F6" s="8">
        <f>-Assumptions!F13</f>
        <v/>
      </c>
      <c r="G6" s="8">
        <f>-Assumptions!G13</f>
        <v/>
      </c>
    </row>
    <row r="7">
      <c r="A7" s="7" t="inlineStr">
        <is>
          <t>融资流入</t>
        </is>
      </c>
      <c r="B7" s="8">
        <f>Assumptions!B14</f>
        <v/>
      </c>
      <c r="C7" s="8">
        <f>Assumptions!C14</f>
        <v/>
      </c>
      <c r="D7" s="8">
        <f>Assumptions!D14</f>
        <v/>
      </c>
      <c r="E7" s="8">
        <f>Assumptions!E14</f>
        <v/>
      </c>
      <c r="F7" s="8">
        <f>Assumptions!F14</f>
        <v/>
      </c>
      <c r="G7" s="8">
        <f>Assumptions!G14</f>
        <v/>
      </c>
    </row>
    <row r="8">
      <c r="A8" s="9" t="inlineStr">
        <is>
          <t>净现金流</t>
        </is>
      </c>
      <c r="B8" s="8">
        <f>SUM(B3:B7)</f>
        <v/>
      </c>
      <c r="C8" s="8">
        <f>SUM(C3:C7)</f>
        <v/>
      </c>
      <c r="D8" s="8">
        <f>SUM(D3:D7)</f>
        <v/>
      </c>
      <c r="E8" s="8">
        <f>SUM(E3:E7)</f>
        <v/>
      </c>
      <c r="F8" s="8">
        <f>SUM(F3:F7)</f>
        <v/>
      </c>
      <c r="G8" s="8">
        <f>SUM(G3:G7)</f>
        <v/>
      </c>
    </row>
    <row r="9">
      <c r="A9" s="7" t="inlineStr">
        <is>
          <t>期初现金</t>
        </is>
      </c>
      <c r="B9" s="8">
        <f>Assumptions!$B$3</f>
        <v/>
      </c>
      <c r="C9" s="8">
        <f>B10</f>
        <v/>
      </c>
      <c r="D9" s="8">
        <f>C10</f>
        <v/>
      </c>
      <c r="E9" s="8">
        <f>D10</f>
        <v/>
      </c>
      <c r="F9" s="8">
        <f>E10</f>
        <v/>
      </c>
      <c r="G9" s="8">
        <f>F10</f>
        <v/>
      </c>
    </row>
    <row r="10">
      <c r="A10" s="9" t="inlineStr">
        <is>
          <t>期末现金</t>
        </is>
      </c>
      <c r="B10" s="8">
        <f>B9+B8</f>
        <v/>
      </c>
      <c r="C10" s="8">
        <f>C9+C8</f>
        <v/>
      </c>
      <c r="D10" s="8">
        <f>D9+D8</f>
        <v/>
      </c>
      <c r="E10" s="8">
        <f>E9+E8</f>
        <v/>
      </c>
      <c r="F10" s="8">
        <f>F9+F8</f>
        <v/>
      </c>
      <c r="G10" s="8">
        <f>G9+G8</f>
        <v/>
      </c>
    </row>
    <row r="11">
      <c r="A11" s="7" t="inlineStr">
        <is>
          <t>最低现金检查</t>
        </is>
      </c>
      <c r="B11" s="8">
        <f>IF(B10&gt;=Assumptions!$B$5,"OK","BREACH")</f>
        <v/>
      </c>
      <c r="C11" s="8">
        <f>IF(C10&gt;=Assumptions!$B$5,"OK","BREACH")</f>
        <v/>
      </c>
      <c r="D11" s="8">
        <f>IF(D10&gt;=Assumptions!$B$5,"OK","BREACH")</f>
        <v/>
      </c>
      <c r="E11" s="8">
        <f>IF(E10&gt;=Assumptions!$B$5,"OK","BREACH")</f>
        <v/>
      </c>
      <c r="F11" s="8">
        <f>IF(F10&gt;=Assumptions!$B$5,"OK","BREACH")</f>
        <v/>
      </c>
      <c r="G11" s="8">
        <f>IF(G10&gt;=Assumptions!$B$5,"OK","BREACH")</f>
        <v/>
      </c>
    </row>
    <row r="12">
      <c r="A12" s="7" t="inlineStr">
        <is>
          <t>高于最低线余量</t>
        </is>
      </c>
      <c r="B12" s="8">
        <f>B10-Assumptions!$B$5</f>
        <v/>
      </c>
      <c r="C12" s="8">
        <f>C10-Assumptions!$B$5</f>
        <v/>
      </c>
      <c r="D12" s="8">
        <f>D10-Assumptions!$B$5</f>
        <v/>
      </c>
      <c r="E12" s="8">
        <f>E10-Assumptions!$B$5</f>
        <v/>
      </c>
      <c r="F12" s="8">
        <f>F10-Assumptions!$B$5</f>
        <v/>
      </c>
      <c r="G12" s="8">
        <f>G10-Assumptions!$B$5</f>
        <v/>
      </c>
    </row>
    <row r="13"/>
    <row r="14">
      <c r="A14" t="inlineStr">
        <is>
          <t>最低期末现金</t>
        </is>
      </c>
      <c r="B14" s="10">
        <f>MIN(B10:G10)</f>
        <v/>
      </c>
    </row>
    <row r="15">
      <c r="A15" t="inlineStr">
        <is>
          <t>最低现金出现月份</t>
        </is>
      </c>
      <c r="B15" s="11">
        <f>INDEX($B$2:$G$2,MATCH(B14,$B$10:$G$10,0))</f>
        <v/>
      </c>
    </row>
    <row r="16">
      <c r="A16" t="inlineStr">
        <is>
          <t>六个月累计净现金流</t>
        </is>
      </c>
      <c r="B16" s="10">
        <f>SUM(B8:G8)</f>
        <v/>
      </c>
    </row>
    <row r="17">
      <c r="A17" t="inlineStr">
        <is>
          <t>勾稽：期初 + 累计净现金流 − M6 期末（应为 0）</t>
        </is>
      </c>
      <c r="B17" s="10">
        <f>Assumptions!B3+B16-G10</f>
        <v/>
      </c>
    </row>
  </sheetData>
  <conditionalFormatting sqref="B11:G11">
    <cfRule type="cellIs" priority="1" operator="equal" dxfId="0">
      <formula>"BREACH"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Downside 情景现金流（百万元，保留三位小数；全部为公式）</t>
        </is>
      </c>
    </row>
    <row r="2">
      <c r="A2" s="4" t="inlineStr">
        <is>
          <t>项目</t>
        </is>
      </c>
      <c r="B2" s="4" t="inlineStr">
        <is>
          <t>M1</t>
        </is>
      </c>
      <c r="C2" s="4" t="inlineStr">
        <is>
          <t>M2</t>
        </is>
      </c>
      <c r="D2" s="4" t="inlineStr">
        <is>
          <t>M3</t>
        </is>
      </c>
      <c r="E2" s="4" t="inlineStr">
        <is>
          <t>M4</t>
        </is>
      </c>
      <c r="F2" s="4" t="inlineStr">
        <is>
          <t>M5</t>
        </is>
      </c>
      <c r="G2" s="4" t="inlineStr">
        <is>
          <t>M6</t>
        </is>
      </c>
    </row>
    <row r="3">
      <c r="A3" s="7" t="inlineStr">
        <is>
          <t>收入</t>
        </is>
      </c>
      <c r="B3" s="8">
        <f>Assumptions!B11*(1-Assumptions!$B$6)*Assumptions!$B$7</f>
        <v/>
      </c>
      <c r="C3" s="8">
        <f>Assumptions!C11*(1-Assumptions!$B$6)*Assumptions!$B$7</f>
        <v/>
      </c>
      <c r="D3" s="8">
        <f>Assumptions!D11*(1-Assumptions!$B$6)*Assumptions!$B$7</f>
        <v/>
      </c>
      <c r="E3" s="8">
        <f>Assumptions!E11*(1-Assumptions!$B$6)*Assumptions!$B$7</f>
        <v/>
      </c>
      <c r="F3" s="8">
        <f>Assumptions!F11*(1-Assumptions!$B$6)*Assumptions!$B$7</f>
        <v/>
      </c>
      <c r="G3" s="8">
        <f>Assumptions!G11*(1-Assumptions!$B$6)*Assumptions!$B$7</f>
        <v/>
      </c>
    </row>
    <row r="4">
      <c r="A4" s="7" t="inlineStr">
        <is>
          <t>变动成本</t>
        </is>
      </c>
      <c r="B4" s="8">
        <f>-B3*Assumptions!$B$4</f>
        <v/>
      </c>
      <c r="C4" s="8">
        <f>-C3*Assumptions!$B$4</f>
        <v/>
      </c>
      <c r="D4" s="8">
        <f>-D3*Assumptions!$B$4</f>
        <v/>
      </c>
      <c r="E4" s="8">
        <f>-E3*Assumptions!$B$4</f>
        <v/>
      </c>
      <c r="F4" s="8">
        <f>-F3*Assumptions!$B$4</f>
        <v/>
      </c>
      <c r="G4" s="8">
        <f>-G3*Assumptions!$B$4</f>
        <v/>
      </c>
    </row>
    <row r="5">
      <c r="A5" s="7" t="inlineStr">
        <is>
          <t>固定费用</t>
        </is>
      </c>
      <c r="B5" s="8">
        <f>-Assumptions!B12</f>
        <v/>
      </c>
      <c r="C5" s="8">
        <f>-Assumptions!C12</f>
        <v/>
      </c>
      <c r="D5" s="8">
        <f>-Assumptions!D12</f>
        <v/>
      </c>
      <c r="E5" s="8">
        <f>-Assumptions!E12</f>
        <v/>
      </c>
      <c r="F5" s="8">
        <f>-Assumptions!F12</f>
        <v/>
      </c>
      <c r="G5" s="8">
        <f>-Assumptions!G12</f>
        <v/>
      </c>
    </row>
    <row r="6">
      <c r="A6" s="7" t="inlineStr">
        <is>
          <t>资本开支</t>
        </is>
      </c>
      <c r="B6" s="8">
        <f>-Assumptions!B13</f>
        <v/>
      </c>
      <c r="C6" s="8">
        <f>-Assumptions!C13</f>
        <v/>
      </c>
      <c r="D6" s="8">
        <f>-Assumptions!D13</f>
        <v/>
      </c>
      <c r="E6" s="8">
        <f>-Assumptions!E13</f>
        <v/>
      </c>
      <c r="F6" s="8">
        <f>-Assumptions!F13</f>
        <v/>
      </c>
      <c r="G6" s="8">
        <f>-Assumptions!G13</f>
        <v/>
      </c>
    </row>
    <row r="7">
      <c r="A7" s="7" t="inlineStr">
        <is>
          <t>融资流入</t>
        </is>
      </c>
      <c r="B7" s="8">
        <f>Assumptions!B14</f>
        <v/>
      </c>
      <c r="C7" s="8">
        <f>Assumptions!C14</f>
        <v/>
      </c>
      <c r="D7" s="8">
        <f>Assumptions!D14</f>
        <v/>
      </c>
      <c r="E7" s="8">
        <f>Assumptions!E14</f>
        <v/>
      </c>
      <c r="F7" s="8">
        <f>Assumptions!F14</f>
        <v/>
      </c>
      <c r="G7" s="8">
        <f>Assumptions!G14</f>
        <v/>
      </c>
    </row>
    <row r="8">
      <c r="A8" s="9" t="inlineStr">
        <is>
          <t>净现金流</t>
        </is>
      </c>
      <c r="B8" s="8">
        <f>SUM(B3:B7)</f>
        <v/>
      </c>
      <c r="C8" s="8">
        <f>SUM(C3:C7)</f>
        <v/>
      </c>
      <c r="D8" s="8">
        <f>SUM(D3:D7)</f>
        <v/>
      </c>
      <c r="E8" s="8">
        <f>SUM(E3:E7)</f>
        <v/>
      </c>
      <c r="F8" s="8">
        <f>SUM(F3:F7)</f>
        <v/>
      </c>
      <c r="G8" s="8">
        <f>SUM(G3:G7)</f>
        <v/>
      </c>
    </row>
    <row r="9">
      <c r="A9" s="7" t="inlineStr">
        <is>
          <t>期初现金</t>
        </is>
      </c>
      <c r="B9" s="8">
        <f>Assumptions!$B$3</f>
        <v/>
      </c>
      <c r="C9" s="8">
        <f>B10</f>
        <v/>
      </c>
      <c r="D9" s="8">
        <f>C10</f>
        <v/>
      </c>
      <c r="E9" s="8">
        <f>D10</f>
        <v/>
      </c>
      <c r="F9" s="8">
        <f>E10</f>
        <v/>
      </c>
      <c r="G9" s="8">
        <f>F10</f>
        <v/>
      </c>
    </row>
    <row r="10">
      <c r="A10" s="9" t="inlineStr">
        <is>
          <t>期末现金</t>
        </is>
      </c>
      <c r="B10" s="8">
        <f>B9+B8</f>
        <v/>
      </c>
      <c r="C10" s="8">
        <f>C9+C8</f>
        <v/>
      </c>
      <c r="D10" s="8">
        <f>D9+D8</f>
        <v/>
      </c>
      <c r="E10" s="8">
        <f>E9+E8</f>
        <v/>
      </c>
      <c r="F10" s="8">
        <f>F9+F8</f>
        <v/>
      </c>
      <c r="G10" s="8">
        <f>G9+G8</f>
        <v/>
      </c>
    </row>
    <row r="11">
      <c r="A11" s="7" t="inlineStr">
        <is>
          <t>最低现金检查</t>
        </is>
      </c>
      <c r="B11" s="8">
        <f>IF(B10&gt;=Assumptions!$B$5,"OK","BREACH")</f>
        <v/>
      </c>
      <c r="C11" s="8">
        <f>IF(C10&gt;=Assumptions!$B$5,"OK","BREACH")</f>
        <v/>
      </c>
      <c r="D11" s="8">
        <f>IF(D10&gt;=Assumptions!$B$5,"OK","BREACH")</f>
        <v/>
      </c>
      <c r="E11" s="8">
        <f>IF(E10&gt;=Assumptions!$B$5,"OK","BREACH")</f>
        <v/>
      </c>
      <c r="F11" s="8">
        <f>IF(F10&gt;=Assumptions!$B$5,"OK","BREACH")</f>
        <v/>
      </c>
      <c r="G11" s="8">
        <f>IF(G10&gt;=Assumptions!$B$5,"OK","BREACH")</f>
        <v/>
      </c>
    </row>
    <row r="12">
      <c r="A12" s="7" t="inlineStr">
        <is>
          <t>高于最低线余量</t>
        </is>
      </c>
      <c r="B12" s="8">
        <f>B10-Assumptions!$B$5</f>
        <v/>
      </c>
      <c r="C12" s="8">
        <f>C10-Assumptions!$B$5</f>
        <v/>
      </c>
      <c r="D12" s="8">
        <f>D10-Assumptions!$B$5</f>
        <v/>
      </c>
      <c r="E12" s="8">
        <f>E10-Assumptions!$B$5</f>
        <v/>
      </c>
      <c r="F12" s="8">
        <f>F10-Assumptions!$B$5</f>
        <v/>
      </c>
      <c r="G12" s="8">
        <f>G10-Assumptions!$B$5</f>
        <v/>
      </c>
    </row>
    <row r="13"/>
    <row r="14">
      <c r="A14" t="inlineStr">
        <is>
          <t>最低期末现金</t>
        </is>
      </c>
      <c r="B14" s="10">
        <f>MIN(B10:G10)</f>
        <v/>
      </c>
    </row>
    <row r="15">
      <c r="A15" t="inlineStr">
        <is>
          <t>最低现金出现月份</t>
        </is>
      </c>
      <c r="B15" s="11">
        <f>INDEX($B$2:$G$2,MATCH(B14,$B$10:$G$10,0))</f>
        <v/>
      </c>
    </row>
    <row r="16">
      <c r="A16" t="inlineStr">
        <is>
          <t>六个月累计净现金流</t>
        </is>
      </c>
      <c r="B16" s="10">
        <f>SUM(B8:G8)</f>
        <v/>
      </c>
    </row>
    <row r="17">
      <c r="A17" t="inlineStr">
        <is>
          <t>勾稽：期初 + 累计净现金流 − M6 期末（应为 0）</t>
        </is>
      </c>
      <c r="B17" s="10">
        <f>Assumptions!B3+B16-G10</f>
        <v/>
      </c>
    </row>
  </sheetData>
  <conditionalFormatting sqref="B11:G11">
    <cfRule type="cellIs" priority="1" operator="equal" dxfId="0">
      <formula>"BREACH"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53" customWidth="1" min="1" max="1"/>
    <col width="18" customWidth="1" min="2" max="2"/>
    <col width="26" customWidth="1" min="3" max="3"/>
    <col width="26" customWidth="1" min="4" max="4"/>
    <col width="40" customWidth="1" min="5" max="5"/>
  </cols>
  <sheetData>
    <row r="1">
      <c r="A1" s="1" t="inlineStr">
        <is>
          <t>Dashboard（全部引用 Base / Downside / Assumptions）</t>
        </is>
      </c>
    </row>
    <row r="2">
      <c r="A2" s="4" t="inlineStr">
        <is>
          <t>指标</t>
        </is>
      </c>
      <c r="B2" s="4" t="inlineStr">
        <is>
          <t>Base</t>
        </is>
      </c>
      <c r="C2" s="4" t="inlineStr">
        <is>
          <t>Downside</t>
        </is>
      </c>
      <c r="D2" s="4" t="inlineStr">
        <is>
          <t>差异（Downside − Base）</t>
        </is>
      </c>
    </row>
    <row r="3">
      <c r="A3" t="inlineStr">
        <is>
          <t>最低期末现金</t>
        </is>
      </c>
      <c r="B3" s="10">
        <f>Base!B14</f>
        <v/>
      </c>
      <c r="C3" s="10">
        <f>Downside!B14</f>
        <v/>
      </c>
      <c r="D3" s="10">
        <f>C3-B3</f>
        <v/>
      </c>
    </row>
    <row r="4">
      <c r="A4" t="inlineStr">
        <is>
          <t>最低现金月份</t>
        </is>
      </c>
      <c r="B4" s="11">
        <f>Base!B15</f>
        <v/>
      </c>
      <c r="C4" s="11">
        <f>Downside!B15</f>
        <v/>
      </c>
    </row>
    <row r="5">
      <c r="A5" t="inlineStr">
        <is>
          <t>M6 期末现金</t>
        </is>
      </c>
      <c r="B5" s="10">
        <f>Base!G10</f>
        <v/>
      </c>
      <c r="C5" s="10">
        <f>Downside!G10</f>
        <v/>
      </c>
      <c r="D5" s="10">
        <f>C5-B5</f>
        <v/>
      </c>
    </row>
    <row r="6">
      <c r="A6" t="inlineStr">
        <is>
          <t>六个月累计净现金流</t>
        </is>
      </c>
      <c r="B6" s="10">
        <f>Base!B16</f>
        <v/>
      </c>
      <c r="C6" s="10">
        <f>Downside!B16</f>
        <v/>
      </c>
      <c r="D6" s="10">
        <f>C6-B6</f>
        <v/>
      </c>
    </row>
    <row r="7">
      <c r="A7" t="inlineStr">
        <is>
          <t>六个月收入合计</t>
        </is>
      </c>
      <c r="B7" s="10">
        <f>SUM(Base!B3:G3)</f>
        <v/>
      </c>
      <c r="C7" s="10">
        <f>SUM(Downside!B3:G3)</f>
        <v/>
      </c>
      <c r="D7" s="10">
        <f>C7-B7</f>
        <v/>
      </c>
    </row>
    <row r="8">
      <c r="A8" t="inlineStr">
        <is>
          <t>最低线 0.8 是否守住</t>
        </is>
      </c>
      <c r="B8" s="11">
        <f>IF(COUNTIF(Base!B11:G11,"BREACH")=0,"是","否")</f>
        <v/>
      </c>
      <c r="C8" s="11">
        <f>IF(COUNTIF(Downside!B11:G11,"BREACH")=0,"是","否")</f>
        <v/>
      </c>
    </row>
    <row r="9">
      <c r="A9" t="inlineStr">
        <is>
          <t>最低余量（最低现金 − 0.8）</t>
        </is>
      </c>
      <c r="B9" s="10">
        <f>Base!B14-Assumptions!B5</f>
        <v/>
      </c>
      <c r="C9" s="10">
        <f>Downside!B14-Assumptions!B5</f>
        <v/>
      </c>
      <c r="D9" s="10">
        <f>C9-B9</f>
        <v/>
      </c>
    </row>
    <row r="10"/>
    <row r="11"/>
    <row r="12">
      <c r="A12" s="4" t="inlineStr">
        <is>
          <t>月份</t>
        </is>
      </c>
      <c r="B12" s="4" t="inlineStr">
        <is>
          <t>Base 期末现金</t>
        </is>
      </c>
      <c r="C12" s="4" t="inlineStr">
        <is>
          <t>Downside 期末现金</t>
        </is>
      </c>
      <c r="D12" s="4" t="inlineStr">
        <is>
          <t>最低线</t>
        </is>
      </c>
    </row>
    <row r="13">
      <c r="A13" t="inlineStr">
        <is>
          <t>M1</t>
        </is>
      </c>
      <c r="B13" s="10">
        <f>Base!B10</f>
        <v/>
      </c>
      <c r="C13" s="10">
        <f>Downside!B10</f>
        <v/>
      </c>
      <c r="D13" s="10">
        <f>Assumptions!$B$5</f>
        <v/>
      </c>
    </row>
    <row r="14">
      <c r="A14" t="inlineStr">
        <is>
          <t>M2</t>
        </is>
      </c>
      <c r="B14" s="10">
        <f>Base!C10</f>
        <v/>
      </c>
      <c r="C14" s="10">
        <f>Downside!C10</f>
        <v/>
      </c>
      <c r="D14" s="10">
        <f>Assumptions!$B$5</f>
        <v/>
      </c>
    </row>
    <row r="15">
      <c r="A15" t="inlineStr">
        <is>
          <t>M3</t>
        </is>
      </c>
      <c r="B15" s="10">
        <f>Base!D10</f>
        <v/>
      </c>
      <c r="C15" s="10">
        <f>Downside!D10</f>
        <v/>
      </c>
      <c r="D15" s="10">
        <f>Assumptions!$B$5</f>
        <v/>
      </c>
    </row>
    <row r="16">
      <c r="A16" t="inlineStr">
        <is>
          <t>M4</t>
        </is>
      </c>
      <c r="B16" s="10">
        <f>Base!E10</f>
        <v/>
      </c>
      <c r="C16" s="10">
        <f>Downside!E10</f>
        <v/>
      </c>
      <c r="D16" s="10">
        <f>Assumptions!$B$5</f>
        <v/>
      </c>
    </row>
    <row r="17">
      <c r="A17" t="inlineStr">
        <is>
          <t>M5</t>
        </is>
      </c>
      <c r="B17" s="10">
        <f>Base!F10</f>
        <v/>
      </c>
      <c r="C17" s="10">
        <f>Downside!F10</f>
        <v/>
      </c>
      <c r="D17" s="10">
        <f>Assumptions!$B$5</f>
        <v/>
      </c>
    </row>
    <row r="18">
      <c r="A18" t="inlineStr">
        <is>
          <t>M6</t>
        </is>
      </c>
      <c r="B18" s="10">
        <f>Base!G10</f>
        <v/>
      </c>
      <c r="C18" s="10">
        <f>Downside!G10</f>
        <v/>
      </c>
      <c r="D18" s="10">
        <f>Assumptions!$B$5</f>
        <v/>
      </c>
    </row>
    <row r="19"/>
    <row r="20"/>
    <row r="21">
      <c r="A21" s="12" t="inlineStr">
        <is>
          <t>可承受的最大统一收入下降幅度（守住 0.8 最低线）</t>
        </is>
      </c>
    </row>
    <row r="22">
      <c r="A22" s="4" t="inlineStr">
        <is>
          <t>月份</t>
        </is>
      </c>
      <c r="B22" s="4" t="inlineStr">
        <is>
          <t>累计收入（Base）</t>
        </is>
      </c>
      <c r="C22" s="4" t="inlineStr">
        <is>
          <t>累计(固定+资本开支−融资)</t>
        </is>
      </c>
      <c r="D22" s="4" t="inlineStr">
        <is>
          <t>该月约束下的最大下降幅度</t>
        </is>
      </c>
      <c r="E22" s="4" t="inlineStr">
        <is>
          <t>说明</t>
        </is>
      </c>
    </row>
    <row r="23">
      <c r="A23" t="inlineStr">
        <is>
          <t>M1</t>
        </is>
      </c>
      <c r="B23" s="10">
        <f>SUM(Assumptions!$B$11:B11)</f>
        <v/>
      </c>
      <c r="C23" s="10">
        <f>SUM(Assumptions!$B$12:B12)+SUM(Assumptions!$B$13:B13)-SUM(Assumptions!$B$14:B14)</f>
        <v/>
      </c>
      <c r="D23" s="13">
        <f>1-(Assumptions!$B$5-Assumptions!$B$3+C23)/((1-Assumptions!$B$4)*B23)</f>
        <v/>
      </c>
      <c r="E23" t="inlineStr">
        <is>
          <t>推导：期末现金_m = 期初 + (1−32%)×累计收入×(1−d) − 累计(固定+资本开支−融资) ≥ 0.8 ⇒ d ≤ 1 − (0.8 − 期初 + 累计支出净额)/((1−32%)×累计收入)</t>
        </is>
      </c>
    </row>
    <row r="24">
      <c r="A24" t="inlineStr">
        <is>
          <t>M2</t>
        </is>
      </c>
      <c r="B24" s="10">
        <f>SUM(Assumptions!$B$11:C11)</f>
        <v/>
      </c>
      <c r="C24" s="10">
        <f>SUM(Assumptions!$B$12:C12)+SUM(Assumptions!$B$13:C13)-SUM(Assumptions!$B$14:C14)</f>
        <v/>
      </c>
      <c r="D24" s="13">
        <f>1-(Assumptions!$B$5-Assumptions!$B$3+C24)/((1-Assumptions!$B$4)*B24)</f>
        <v/>
      </c>
    </row>
    <row r="25">
      <c r="A25" t="inlineStr">
        <is>
          <t>M3</t>
        </is>
      </c>
      <c r="B25" s="10">
        <f>SUM(Assumptions!$B$11:D11)</f>
        <v/>
      </c>
      <c r="C25" s="10">
        <f>SUM(Assumptions!$B$12:D12)+SUM(Assumptions!$B$13:D13)-SUM(Assumptions!$B$14:D14)</f>
        <v/>
      </c>
      <c r="D25" s="13">
        <f>1-(Assumptions!$B$5-Assumptions!$B$3+C25)/((1-Assumptions!$B$4)*B25)</f>
        <v/>
      </c>
    </row>
    <row r="26">
      <c r="A26" t="inlineStr">
        <is>
          <t>M4</t>
        </is>
      </c>
      <c r="B26" s="10">
        <f>SUM(Assumptions!$B$11:E11)</f>
        <v/>
      </c>
      <c r="C26" s="10">
        <f>SUM(Assumptions!$B$12:E12)+SUM(Assumptions!$B$13:E13)-SUM(Assumptions!$B$14:E14)</f>
        <v/>
      </c>
      <c r="D26" s="13">
        <f>1-(Assumptions!$B$5-Assumptions!$B$3+C26)/((1-Assumptions!$B$4)*B26)</f>
        <v/>
      </c>
    </row>
    <row r="27">
      <c r="A27" t="inlineStr">
        <is>
          <t>M5</t>
        </is>
      </c>
      <c r="B27" s="10">
        <f>SUM(Assumptions!$B$11:F11)</f>
        <v/>
      </c>
      <c r="C27" s="10">
        <f>SUM(Assumptions!$B$12:F12)+SUM(Assumptions!$B$13:F13)-SUM(Assumptions!$B$14:F14)</f>
        <v/>
      </c>
      <c r="D27" s="13">
        <f>1-(Assumptions!$B$5-Assumptions!$B$3+C27)/((1-Assumptions!$B$4)*B27)</f>
        <v/>
      </c>
    </row>
    <row r="28">
      <c r="A28" t="inlineStr">
        <is>
          <t>M6</t>
        </is>
      </c>
      <c r="B28" s="10">
        <f>SUM(Assumptions!$B$11:G11)</f>
        <v/>
      </c>
      <c r="C28" s="10">
        <f>SUM(Assumptions!$B$12:G12)+SUM(Assumptions!$B$13:G13)-SUM(Assumptions!$B$14:G14)</f>
        <v/>
      </c>
      <c r="D28" s="13">
        <f>1-(Assumptions!$B$5-Assumptions!$B$3+C28)/((1-Assumptions!$B$4)*B28)</f>
        <v/>
      </c>
    </row>
    <row r="29"/>
    <row r="30">
      <c r="A30" t="inlineStr">
        <is>
          <t>最大可承受下降幅度（各月约束取最小）</t>
        </is>
      </c>
      <c r="D30" s="14">
        <f>MIN(D23:D28)</f>
        <v/>
      </c>
    </row>
    <row r="31">
      <c r="A31" t="inlineStr">
        <is>
          <t>约束月份</t>
        </is>
      </c>
      <c r="D31" s="11">
        <f>INDEX(A23:A28,MATCH(D30,D23:D28,0))</f>
        <v/>
      </c>
    </row>
    <row r="32"/>
    <row r="33"/>
    <row r="34">
      <c r="A34" s="12" t="inlineStr">
        <is>
          <t>敏感性：统一收入下降幅度 → 最低期末现金（公式）</t>
        </is>
      </c>
    </row>
    <row r="35">
      <c r="A35" s="4" t="inlineStr">
        <is>
          <t>下降幅度</t>
        </is>
      </c>
      <c r="B35" s="4" t="inlineStr">
        <is>
          <t>最低期末现金</t>
        </is>
      </c>
      <c r="C35" s="4" t="inlineStr">
        <is>
          <t>是否守住 0.8</t>
        </is>
      </c>
    </row>
    <row r="36">
      <c r="A36" s="15" t="n">
        <v>0</v>
      </c>
      <c r="B36" s="10">
        <f>MIN(Assumptions!$B$3+(1-Assumptions!$B$4)*(1-$A36)*SUM(Assumptions!$B$11:B11)-SUM(Assumptions!$B$12:B12)-SUM(Assumptions!$B$13:B13)+SUM(Assumptions!$B$14:B14),Assumptions!$B$3+(1-Assumptions!$B$4)*(1-$A36)*SUM(Assumptions!$B$11:C11)-SUM(Assumptions!$B$12:C12)-SUM(Assumptions!$B$13:C13)+SUM(Assumptions!$B$14:C14),Assumptions!$B$3+(1-Assumptions!$B$4)*(1-$A36)*SUM(Assumptions!$B$11:D11)-SUM(Assumptions!$B$12:D12)-SUM(Assumptions!$B$13:D13)+SUM(Assumptions!$B$14:D14),Assumptions!$B$3+(1-Assumptions!$B$4)*(1-$A36)*SUM(Assumptions!$B$11:E11)-SUM(Assumptions!$B$12:E12)-SUM(Assumptions!$B$13:E13)+SUM(Assumptions!$B$14:E14),Assumptions!$B$3+(1-Assumptions!$B$4)*(1-$A36)*SUM(Assumptions!$B$11:F11)-SUM(Assumptions!$B$12:F12)-SUM(Assumptions!$B$13:F13)+SUM(Assumptions!$B$14:F14),Assumptions!$B$3+(1-Assumptions!$B$4)*(1-$A36)*SUM(Assumptions!$B$11:G11)-SUM(Assumptions!$B$12:G12)-SUM(Assumptions!$B$13:G13)+SUM(Assumptions!$B$14:G14))</f>
        <v/>
      </c>
      <c r="C36" s="11">
        <f>IF(B36&gt;=Assumptions!$B$5,"是","否")</f>
        <v/>
      </c>
    </row>
    <row r="37">
      <c r="A37" s="15" t="n">
        <v>0.05</v>
      </c>
      <c r="B37" s="10">
        <f>MIN(Assumptions!$B$3+(1-Assumptions!$B$4)*(1-$A37)*SUM(Assumptions!$B$11:B11)-SUM(Assumptions!$B$12:B12)-SUM(Assumptions!$B$13:B13)+SUM(Assumptions!$B$14:B14),Assumptions!$B$3+(1-Assumptions!$B$4)*(1-$A37)*SUM(Assumptions!$B$11:C11)-SUM(Assumptions!$B$12:C12)-SUM(Assumptions!$B$13:C13)+SUM(Assumptions!$B$14:C14),Assumptions!$B$3+(1-Assumptions!$B$4)*(1-$A37)*SUM(Assumptions!$B$11:D11)-SUM(Assumptions!$B$12:D12)-SUM(Assumptions!$B$13:D13)+SUM(Assumptions!$B$14:D14),Assumptions!$B$3+(1-Assumptions!$B$4)*(1-$A37)*SUM(Assumptions!$B$11:E11)-SUM(Assumptions!$B$12:E12)-SUM(Assumptions!$B$13:E13)+SUM(Assumptions!$B$14:E14),Assumptions!$B$3+(1-Assumptions!$B$4)*(1-$A37)*SUM(Assumptions!$B$11:F11)-SUM(Assumptions!$B$12:F12)-SUM(Assumptions!$B$13:F13)+SUM(Assumptions!$B$14:F14),Assumptions!$B$3+(1-Assumptions!$B$4)*(1-$A37)*SUM(Assumptions!$B$11:G11)-SUM(Assumptions!$B$12:G12)-SUM(Assumptions!$B$13:G13)+SUM(Assumptions!$B$14:G14))</f>
        <v/>
      </c>
      <c r="C37" s="11">
        <f>IF(B37&gt;=Assumptions!$B$5,"是","否")</f>
        <v/>
      </c>
    </row>
    <row r="38">
      <c r="A38" s="15" t="n">
        <v>0.1</v>
      </c>
      <c r="B38" s="10">
        <f>MIN(Assumptions!$B$3+(1-Assumptions!$B$4)*(1-$A38)*SUM(Assumptions!$B$11:B11)-SUM(Assumptions!$B$12:B12)-SUM(Assumptions!$B$13:B13)+SUM(Assumptions!$B$14:B14),Assumptions!$B$3+(1-Assumptions!$B$4)*(1-$A38)*SUM(Assumptions!$B$11:C11)-SUM(Assumptions!$B$12:C12)-SUM(Assumptions!$B$13:C13)+SUM(Assumptions!$B$14:C14),Assumptions!$B$3+(1-Assumptions!$B$4)*(1-$A38)*SUM(Assumptions!$B$11:D11)-SUM(Assumptions!$B$12:D12)-SUM(Assumptions!$B$13:D13)+SUM(Assumptions!$B$14:D14),Assumptions!$B$3+(1-Assumptions!$B$4)*(1-$A38)*SUM(Assumptions!$B$11:E11)-SUM(Assumptions!$B$12:E12)-SUM(Assumptions!$B$13:E13)+SUM(Assumptions!$B$14:E14),Assumptions!$B$3+(1-Assumptions!$B$4)*(1-$A38)*SUM(Assumptions!$B$11:F11)-SUM(Assumptions!$B$12:F12)-SUM(Assumptions!$B$13:F13)+SUM(Assumptions!$B$14:F14),Assumptions!$B$3+(1-Assumptions!$B$4)*(1-$A38)*SUM(Assumptions!$B$11:G11)-SUM(Assumptions!$B$12:G12)-SUM(Assumptions!$B$13:G13)+SUM(Assumptions!$B$14:G14))</f>
        <v/>
      </c>
      <c r="C38" s="11">
        <f>IF(B38&gt;=Assumptions!$B$5,"是","否")</f>
        <v/>
      </c>
    </row>
    <row r="39">
      <c r="A39" s="15" t="n">
        <v>0.15</v>
      </c>
      <c r="B39" s="10">
        <f>MIN(Assumptions!$B$3+(1-Assumptions!$B$4)*(1-$A39)*SUM(Assumptions!$B$11:B11)-SUM(Assumptions!$B$12:B12)-SUM(Assumptions!$B$13:B13)+SUM(Assumptions!$B$14:B14),Assumptions!$B$3+(1-Assumptions!$B$4)*(1-$A39)*SUM(Assumptions!$B$11:C11)-SUM(Assumptions!$B$12:C12)-SUM(Assumptions!$B$13:C13)+SUM(Assumptions!$B$14:C14),Assumptions!$B$3+(1-Assumptions!$B$4)*(1-$A39)*SUM(Assumptions!$B$11:D11)-SUM(Assumptions!$B$12:D12)-SUM(Assumptions!$B$13:D13)+SUM(Assumptions!$B$14:D14),Assumptions!$B$3+(1-Assumptions!$B$4)*(1-$A39)*SUM(Assumptions!$B$11:E11)-SUM(Assumptions!$B$12:E12)-SUM(Assumptions!$B$13:E13)+SUM(Assumptions!$B$14:E14),Assumptions!$B$3+(1-Assumptions!$B$4)*(1-$A39)*SUM(Assumptions!$B$11:F11)-SUM(Assumptions!$B$12:F12)-SUM(Assumptions!$B$13:F13)+SUM(Assumptions!$B$14:F14),Assumptions!$B$3+(1-Assumptions!$B$4)*(1-$A39)*SUM(Assumptions!$B$11:G11)-SUM(Assumptions!$B$12:G12)-SUM(Assumptions!$B$13:G13)+SUM(Assumptions!$B$14:G14))</f>
        <v/>
      </c>
      <c r="C39" s="11">
        <f>IF(B39&gt;=Assumptions!$B$5,"是","否")</f>
        <v/>
      </c>
    </row>
    <row r="40">
      <c r="A40" s="15" t="n">
        <v>0.2</v>
      </c>
      <c r="B40" s="10">
        <f>MIN(Assumptions!$B$3+(1-Assumptions!$B$4)*(1-$A40)*SUM(Assumptions!$B$11:B11)-SUM(Assumptions!$B$12:B12)-SUM(Assumptions!$B$13:B13)+SUM(Assumptions!$B$14:B14),Assumptions!$B$3+(1-Assumptions!$B$4)*(1-$A40)*SUM(Assumptions!$B$11:C11)-SUM(Assumptions!$B$12:C12)-SUM(Assumptions!$B$13:C13)+SUM(Assumptions!$B$14:C14),Assumptions!$B$3+(1-Assumptions!$B$4)*(1-$A40)*SUM(Assumptions!$B$11:D11)-SUM(Assumptions!$B$12:D12)-SUM(Assumptions!$B$13:D13)+SUM(Assumptions!$B$14:D14),Assumptions!$B$3+(1-Assumptions!$B$4)*(1-$A40)*SUM(Assumptions!$B$11:E11)-SUM(Assumptions!$B$12:E12)-SUM(Assumptions!$B$13:E13)+SUM(Assumptions!$B$14:E14),Assumptions!$B$3+(1-Assumptions!$B$4)*(1-$A40)*SUM(Assumptions!$B$11:F11)-SUM(Assumptions!$B$12:F12)-SUM(Assumptions!$B$13:F13)+SUM(Assumptions!$B$14:F14),Assumptions!$B$3+(1-Assumptions!$B$4)*(1-$A40)*SUM(Assumptions!$B$11:G11)-SUM(Assumptions!$B$12:G12)-SUM(Assumptions!$B$13:G13)+SUM(Assumptions!$B$14:G14))</f>
        <v/>
      </c>
      <c r="C40" s="11">
        <f>IF(B40&gt;=Assumptions!$B$5,"是","否")</f>
        <v/>
      </c>
    </row>
    <row r="41">
      <c r="A41" s="15" t="n">
        <v>0.25</v>
      </c>
      <c r="B41" s="10">
        <f>MIN(Assumptions!$B$3+(1-Assumptions!$B$4)*(1-$A41)*SUM(Assumptions!$B$11:B11)-SUM(Assumptions!$B$12:B12)-SUM(Assumptions!$B$13:B13)+SUM(Assumptions!$B$14:B14),Assumptions!$B$3+(1-Assumptions!$B$4)*(1-$A41)*SUM(Assumptions!$B$11:C11)-SUM(Assumptions!$B$12:C12)-SUM(Assumptions!$B$13:C13)+SUM(Assumptions!$B$14:C14),Assumptions!$B$3+(1-Assumptions!$B$4)*(1-$A41)*SUM(Assumptions!$B$11:D11)-SUM(Assumptions!$B$12:D12)-SUM(Assumptions!$B$13:D13)+SUM(Assumptions!$B$14:D14),Assumptions!$B$3+(1-Assumptions!$B$4)*(1-$A41)*SUM(Assumptions!$B$11:E11)-SUM(Assumptions!$B$12:E12)-SUM(Assumptions!$B$13:E13)+SUM(Assumptions!$B$14:E14),Assumptions!$B$3+(1-Assumptions!$B$4)*(1-$A41)*SUM(Assumptions!$B$11:F11)-SUM(Assumptions!$B$12:F12)-SUM(Assumptions!$B$13:F13)+SUM(Assumptions!$B$14:F14),Assumptions!$B$3+(1-Assumptions!$B$4)*(1-$A41)*SUM(Assumptions!$B$11:G11)-SUM(Assumptions!$B$12:G12)-SUM(Assumptions!$B$13:G13)+SUM(Assumptions!$B$14:G14))</f>
        <v/>
      </c>
      <c r="C41" s="11">
        <f>IF(B41&gt;=Assumptions!$B$5,"是","否")</f>
        <v/>
      </c>
    </row>
    <row r="42">
      <c r="A42" s="15" t="n">
        <v>0.3</v>
      </c>
      <c r="B42" s="10">
        <f>MIN(Assumptions!$B$3+(1-Assumptions!$B$4)*(1-$A42)*SUM(Assumptions!$B$11:B11)-SUM(Assumptions!$B$12:B12)-SUM(Assumptions!$B$13:B13)+SUM(Assumptions!$B$14:B14),Assumptions!$B$3+(1-Assumptions!$B$4)*(1-$A42)*SUM(Assumptions!$B$11:C11)-SUM(Assumptions!$B$12:C12)-SUM(Assumptions!$B$13:C13)+SUM(Assumptions!$B$14:C14),Assumptions!$B$3+(1-Assumptions!$B$4)*(1-$A42)*SUM(Assumptions!$B$11:D11)-SUM(Assumptions!$B$12:D12)-SUM(Assumptions!$B$13:D13)+SUM(Assumptions!$B$14:D14),Assumptions!$B$3+(1-Assumptions!$B$4)*(1-$A42)*SUM(Assumptions!$B$11:E11)-SUM(Assumptions!$B$12:E12)-SUM(Assumptions!$B$13:E13)+SUM(Assumptions!$B$14:E14),Assumptions!$B$3+(1-Assumptions!$B$4)*(1-$A42)*SUM(Assumptions!$B$11:F11)-SUM(Assumptions!$B$12:F12)-SUM(Assumptions!$B$13:F13)+SUM(Assumptions!$B$14:F14),Assumptions!$B$3+(1-Assumptions!$B$4)*(1-$A42)*SUM(Assumptions!$B$11:G11)-SUM(Assumptions!$B$12:G12)-SUM(Assumptions!$B$13:G13)+SUM(Assumptions!$B$14:G14))</f>
        <v/>
      </c>
      <c r="C42" s="11">
        <f>IF(B42&gt;=Assumptions!$B$5,"是","否")</f>
        <v/>
      </c>
    </row>
    <row r="43">
      <c r="A43" s="15" t="n">
        <v>0.35</v>
      </c>
      <c r="B43" s="10">
        <f>MIN(Assumptions!$B$3+(1-Assumptions!$B$4)*(1-$A43)*SUM(Assumptions!$B$11:B11)-SUM(Assumptions!$B$12:B12)-SUM(Assumptions!$B$13:B13)+SUM(Assumptions!$B$14:B14),Assumptions!$B$3+(1-Assumptions!$B$4)*(1-$A43)*SUM(Assumptions!$B$11:C11)-SUM(Assumptions!$B$12:C12)-SUM(Assumptions!$B$13:C13)+SUM(Assumptions!$B$14:C14),Assumptions!$B$3+(1-Assumptions!$B$4)*(1-$A43)*SUM(Assumptions!$B$11:D11)-SUM(Assumptions!$B$12:D12)-SUM(Assumptions!$B$13:D13)+SUM(Assumptions!$B$14:D14),Assumptions!$B$3+(1-Assumptions!$B$4)*(1-$A43)*SUM(Assumptions!$B$11:E11)-SUM(Assumptions!$B$12:E12)-SUM(Assumptions!$B$13:E13)+SUM(Assumptions!$B$14:E14),Assumptions!$B$3+(1-Assumptions!$B$4)*(1-$A43)*SUM(Assumptions!$B$11:F11)-SUM(Assumptions!$B$12:F12)-SUM(Assumptions!$B$13:F13)+SUM(Assumptions!$B$14:F14),Assumptions!$B$3+(1-Assumptions!$B$4)*(1-$A43)*SUM(Assumptions!$B$11:G11)-SUM(Assumptions!$B$12:G12)-SUM(Assumptions!$B$13:G13)+SUM(Assumptions!$B$14:G14))</f>
        <v/>
      </c>
      <c r="C43" s="11">
        <f>IF(B43&gt;=Assumptions!$B$5,"是","否")</f>
        <v/>
      </c>
    </row>
    <row r="44">
      <c r="A44" s="15" t="n">
        <v>0.4</v>
      </c>
      <c r="B44" s="10">
        <f>MIN(Assumptions!$B$3+(1-Assumptions!$B$4)*(1-$A44)*SUM(Assumptions!$B$11:B11)-SUM(Assumptions!$B$12:B12)-SUM(Assumptions!$B$13:B13)+SUM(Assumptions!$B$14:B14),Assumptions!$B$3+(1-Assumptions!$B$4)*(1-$A44)*SUM(Assumptions!$B$11:C11)-SUM(Assumptions!$B$12:C12)-SUM(Assumptions!$B$13:C13)+SUM(Assumptions!$B$14:C14),Assumptions!$B$3+(1-Assumptions!$B$4)*(1-$A44)*SUM(Assumptions!$B$11:D11)-SUM(Assumptions!$B$12:D12)-SUM(Assumptions!$B$13:D13)+SUM(Assumptions!$B$14:D14),Assumptions!$B$3+(1-Assumptions!$B$4)*(1-$A44)*SUM(Assumptions!$B$11:E11)-SUM(Assumptions!$B$12:E12)-SUM(Assumptions!$B$13:E13)+SUM(Assumptions!$B$14:E14),Assumptions!$B$3+(1-Assumptions!$B$4)*(1-$A44)*SUM(Assumptions!$B$11:F11)-SUM(Assumptions!$B$12:F12)-SUM(Assumptions!$B$13:F13)+SUM(Assumptions!$B$14:F14),Assumptions!$B$3+(1-Assumptions!$B$4)*(1-$A44)*SUM(Assumptions!$B$11:G11)-SUM(Assumptions!$B$12:G12)-SUM(Assumptions!$B$13:G13)+SUM(Assumptions!$B$14:G14))</f>
        <v/>
      </c>
      <c r="C44" s="11">
        <f>IF(B44&gt;=Assumptions!$B$5,"是","否")</f>
        <v/>
      </c>
    </row>
  </sheetData>
  <conditionalFormatting sqref="C36:C44">
    <cfRule type="cellIs" priority="1" operator="equal" dxfId="1">
      <formula>"否"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2026-09-02T02:01:20Z</dcterms:created>
  <dcterms:modified xmlns:dcterms="http://purl.org/dc/terms/" xmlns:xsi="http://www.w3.org/2001/XMLSchema-instance" xsi:type="dcterms:W3CDTF">2026-09-02T02:01:20Z</dcterms:modified>
</cp:coreProperties>
</file>