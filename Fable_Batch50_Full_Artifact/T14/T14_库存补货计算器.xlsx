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enishment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Purchase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Microsoft YaHei"/>
      <b val="1"/>
      <color rgb="001F3864"/>
      <sz val="13"/>
    </font>
    <font>
      <name val="Microsoft YaHei"/>
      <b val="1"/>
      <color rgb="00FFFFFF"/>
    </font>
    <font>
      <name val="Microsoft YaHei"/>
      <i val="1"/>
      <color rgb="0059595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4" borderId="0" pivotButton="0" quotePrefix="0" xfId="0"/>
    <xf numFmtId="0" fontId="3" fillId="0" borderId="0" applyAlignment="1" pivotButton="0" quotePrefix="0" xfId="0">
      <alignment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60" customWidth="1" min="1" max="1"/>
    <col width="9" customWidth="1" min="2" max="2"/>
    <col width="18" customWidth="1" min="3" max="3"/>
    <col width="16" customWidth="1" min="4" max="4"/>
    <col width="14" customWidth="1" min="5" max="5"/>
    <col width="9" customWidth="1" min="6" max="6"/>
    <col width="11" customWidth="1" min="7" max="7"/>
    <col width="15" customWidth="1" min="8" max="8"/>
    <col width="19" customWidth="1" min="9" max="9"/>
    <col width="14" customWidth="1" min="10" max="10"/>
    <col width="14" customWidth="1" min="11" max="11"/>
    <col width="14" customWidth="1" min="12" max="12"/>
    <col width="26" customWidth="1" min="13" max="13"/>
    <col width="30" customWidth="1" min="14" max="14"/>
    <col width="14" customWidth="1" min="15" max="15"/>
  </cols>
  <sheetData>
    <row r="1">
      <c r="A1" s="1" t="inlineStr">
        <is>
          <t>补货计算器（黄色=输入；绿色=公式）</t>
        </is>
      </c>
    </row>
    <row r="2">
      <c r="A2" t="inlineStr">
        <is>
          <t>目标覆盖附加天数</t>
        </is>
      </c>
      <c r="B2" s="2" t="n">
        <v>14</v>
      </c>
    </row>
    <row r="3"/>
    <row r="4">
      <c r="A4" s="3" t="inlineStr">
        <is>
          <t>SKU</t>
        </is>
      </c>
      <c r="B4" s="3" t="inlineStr">
        <is>
          <t>On Hand</t>
        </is>
      </c>
      <c r="C4" s="3" t="inlineStr">
        <is>
          <t>Avg Daily Demand</t>
        </is>
      </c>
      <c r="D4" s="3" t="inlineStr">
        <is>
          <t>Lead Time Days</t>
        </is>
      </c>
      <c r="E4" s="3" t="inlineStr">
        <is>
          <t>Safety Stock</t>
        </is>
      </c>
      <c r="F4" s="3" t="inlineStr">
        <is>
          <t>Open PO</t>
        </is>
      </c>
      <c r="G4" s="3" t="inlineStr">
        <is>
          <t>Case Pack</t>
        </is>
      </c>
      <c r="H4" s="3" t="inlineStr">
        <is>
          <t>Reorder Point</t>
        </is>
      </c>
      <c r="I4" s="3" t="inlineStr">
        <is>
          <t>Available (OH+PO)</t>
        </is>
      </c>
      <c r="J4" s="3" t="inlineStr">
        <is>
          <t>Trigger?</t>
        </is>
      </c>
      <c r="K4" s="3" t="inlineStr">
        <is>
          <t>Target Stock</t>
        </is>
      </c>
      <c r="L4" s="3" t="inlineStr">
        <is>
          <t>Raw Need</t>
        </is>
      </c>
      <c r="M4" s="3" t="inlineStr">
        <is>
          <t>Order Qty (case rounded)</t>
        </is>
      </c>
      <c r="N4" s="3" t="inlineStr">
        <is>
          <t>Days of Cover (Avail/Demand)</t>
        </is>
      </c>
      <c r="O4" s="3" t="inlineStr">
        <is>
          <t>Order Cases</t>
        </is>
      </c>
    </row>
    <row r="5">
      <c r="A5" s="4" t="inlineStr">
        <is>
          <t>A</t>
        </is>
      </c>
      <c r="B5" s="4" t="n">
        <v>120</v>
      </c>
      <c r="C5" s="4" t="n">
        <v>8</v>
      </c>
      <c r="D5" s="4" t="n">
        <v>10</v>
      </c>
      <c r="E5" s="4" t="n">
        <v>40</v>
      </c>
      <c r="F5" s="4" t="n">
        <v>0</v>
      </c>
      <c r="G5" s="4" t="n">
        <v>20</v>
      </c>
      <c r="H5" s="5">
        <f>C5*D5+E5</f>
        <v/>
      </c>
      <c r="I5" s="5">
        <f>B5+F5</f>
        <v/>
      </c>
      <c r="J5" s="5">
        <f>IF(I5&lt;=H5,"YES","NO")</f>
        <v/>
      </c>
      <c r="K5" s="5">
        <f>C5*(D5+$B$2)+E5</f>
        <v/>
      </c>
      <c r="L5" s="5">
        <f>MAX(0,K5-B5-F5)</f>
        <v/>
      </c>
      <c r="M5" s="5">
        <f>IF(J5="YES",CEILING(L5,G5),0)</f>
        <v/>
      </c>
      <c r="N5" s="6">
        <f>IF(C5=0,"",I5/C5)</f>
        <v/>
      </c>
      <c r="O5" s="5">
        <f>IF(G5=0,0,M5/G5)</f>
        <v/>
      </c>
    </row>
    <row r="6">
      <c r="A6" s="4" t="inlineStr">
        <is>
          <t>B</t>
        </is>
      </c>
      <c r="B6" s="4" t="n">
        <v>500</v>
      </c>
      <c r="C6" s="4" t="n">
        <v>12</v>
      </c>
      <c r="D6" s="4" t="n">
        <v>7</v>
      </c>
      <c r="E6" s="4" t="n">
        <v>60</v>
      </c>
      <c r="F6" s="4" t="n">
        <v>100</v>
      </c>
      <c r="G6" s="4" t="n">
        <v>50</v>
      </c>
      <c r="H6" s="5">
        <f>C6*D6+E6</f>
        <v/>
      </c>
      <c r="I6" s="5">
        <f>B6+F6</f>
        <v/>
      </c>
      <c r="J6" s="5">
        <f>IF(I6&lt;=H6,"YES","NO")</f>
        <v/>
      </c>
      <c r="K6" s="5">
        <f>C6*(D6+$B$2)+E6</f>
        <v/>
      </c>
      <c r="L6" s="5">
        <f>MAX(0,K6-B6-F6)</f>
        <v/>
      </c>
      <c r="M6" s="5">
        <f>IF(J6="YES",CEILING(L6,G6),0)</f>
        <v/>
      </c>
      <c r="N6" s="6">
        <f>IF(C6=0,"",I6/C6)</f>
        <v/>
      </c>
      <c r="O6" s="5">
        <f>IF(G6=0,0,M6/G6)</f>
        <v/>
      </c>
    </row>
    <row r="7">
      <c r="A7" s="4" t="inlineStr">
        <is>
          <t>C</t>
        </is>
      </c>
      <c r="B7" s="4" t="n">
        <v>40</v>
      </c>
      <c r="C7" s="4" t="n">
        <v>5</v>
      </c>
      <c r="D7" s="4" t="n">
        <v>14</v>
      </c>
      <c r="E7" s="4" t="n">
        <v>25</v>
      </c>
      <c r="F7" s="4" t="n">
        <v>0</v>
      </c>
      <c r="G7" s="4" t="n">
        <v>10</v>
      </c>
      <c r="H7" s="5">
        <f>C7*D7+E7</f>
        <v/>
      </c>
      <c r="I7" s="5">
        <f>B7+F7</f>
        <v/>
      </c>
      <c r="J7" s="5">
        <f>IF(I7&lt;=H7,"YES","NO")</f>
        <v/>
      </c>
      <c r="K7" s="5">
        <f>C7*(D7+$B$2)+E7</f>
        <v/>
      </c>
      <c r="L7" s="5">
        <f>MAX(0,K7-B7-F7)</f>
        <v/>
      </c>
      <c r="M7" s="5">
        <f>IF(J7="YES",CEILING(L7,G7),0)</f>
        <v/>
      </c>
      <c r="N7" s="6">
        <f>IF(C7=0,"",I7/C7)</f>
        <v/>
      </c>
      <c r="O7" s="5">
        <f>IF(G7=0,0,M7/G7)</f>
        <v/>
      </c>
    </row>
    <row r="8">
      <c r="A8" s="4" t="inlineStr">
        <is>
          <t>D</t>
        </is>
      </c>
      <c r="B8" s="4" t="n">
        <v>200</v>
      </c>
      <c r="C8" s="4" t="n">
        <v>20</v>
      </c>
      <c r="D8" s="4" t="n">
        <v>5</v>
      </c>
      <c r="E8" s="4" t="n">
        <v>50</v>
      </c>
      <c r="F8" s="4" t="n">
        <v>0</v>
      </c>
      <c r="G8" s="4" t="n">
        <v>25</v>
      </c>
      <c r="H8" s="5">
        <f>C8*D8+E8</f>
        <v/>
      </c>
      <c r="I8" s="5">
        <f>B8+F8</f>
        <v/>
      </c>
      <c r="J8" s="5">
        <f>IF(I8&lt;=H8,"YES","NO")</f>
        <v/>
      </c>
      <c r="K8" s="5">
        <f>C8*(D8+$B$2)+E8</f>
        <v/>
      </c>
      <c r="L8" s="5">
        <f>MAX(0,K8-B8-F8)</f>
        <v/>
      </c>
      <c r="M8" s="5">
        <f>IF(J8="YES",CEILING(L8,G8),0)</f>
        <v/>
      </c>
      <c r="N8" s="6">
        <f>IF(C8=0,"",I8/C8)</f>
        <v/>
      </c>
      <c r="O8" s="5">
        <f>IF(G8=0,0,M8/G8)</f>
        <v/>
      </c>
    </row>
    <row r="9">
      <c r="A9" s="4" t="inlineStr">
        <is>
          <t>E</t>
        </is>
      </c>
      <c r="B9" s="4" t="n">
        <v>75</v>
      </c>
      <c r="C9" s="4" t="n">
        <v>4</v>
      </c>
      <c r="D9" s="4" t="n">
        <v>21</v>
      </c>
      <c r="E9" s="4" t="n">
        <v>30</v>
      </c>
      <c r="F9" s="4" t="n">
        <v>50</v>
      </c>
      <c r="G9" s="4" t="n">
        <v>10</v>
      </c>
      <c r="H9" s="5">
        <f>C9*D9+E9</f>
        <v/>
      </c>
      <c r="I9" s="5">
        <f>B9+F9</f>
        <v/>
      </c>
      <c r="J9" s="5">
        <f>IF(I9&lt;=H9,"YES","NO")</f>
        <v/>
      </c>
      <c r="K9" s="5">
        <f>C9*(D9+$B$2)+E9</f>
        <v/>
      </c>
      <c r="L9" s="5">
        <f>MAX(0,K9-B9-F9)</f>
        <v/>
      </c>
      <c r="M9" s="5">
        <f>IF(J9="YES",CEILING(L9,G9),0)</f>
        <v/>
      </c>
      <c r="N9" s="6">
        <f>IF(C9=0,"",I9/C9)</f>
        <v/>
      </c>
      <c r="O9" s="5">
        <f>IF(G9=0,0,M9/G9)</f>
        <v/>
      </c>
    </row>
    <row r="10">
      <c r="A10" s="4" t="inlineStr">
        <is>
          <t>F</t>
        </is>
      </c>
      <c r="B10" s="4" t="n">
        <v>0</v>
      </c>
      <c r="C10" s="4" t="n">
        <v>3</v>
      </c>
      <c r="D10" s="4" t="n">
        <v>30</v>
      </c>
      <c r="E10" s="4" t="n">
        <v>20</v>
      </c>
      <c r="F10" s="4" t="n">
        <v>30</v>
      </c>
      <c r="G10" s="4" t="n">
        <v>25</v>
      </c>
      <c r="H10" s="5">
        <f>C10*D10+E10</f>
        <v/>
      </c>
      <c r="I10" s="5">
        <f>B10+F10</f>
        <v/>
      </c>
      <c r="J10" s="5">
        <f>IF(I10&lt;=H10,"YES","NO")</f>
        <v/>
      </c>
      <c r="K10" s="5">
        <f>C10*(D10+$B$2)+E10</f>
        <v/>
      </c>
      <c r="L10" s="5">
        <f>MAX(0,K10-B10-F10)</f>
        <v/>
      </c>
      <c r="M10" s="5">
        <f>IF(J10="YES",CEILING(L10,G10),0)</f>
        <v/>
      </c>
      <c r="N10" s="6">
        <f>IF(C10=0,"",I10/C10)</f>
        <v/>
      </c>
      <c r="O10" s="5">
        <f>IF(G10=0,0,M10/G10)</f>
        <v/>
      </c>
    </row>
    <row r="11">
      <c r="A11" s="4" t="inlineStr">
        <is>
          <t>G</t>
        </is>
      </c>
      <c r="B11" s="4" t="n">
        <v>90</v>
      </c>
      <c r="C11" s="4" t="n">
        <v>6</v>
      </c>
      <c r="D11" s="4" t="n">
        <v>12</v>
      </c>
      <c r="E11" s="4" t="n">
        <v>36</v>
      </c>
      <c r="F11" s="4" t="n">
        <v>0</v>
      </c>
      <c r="G11" s="4" t="n">
        <v>12</v>
      </c>
      <c r="H11" s="5">
        <f>C11*D11+E11</f>
        <v/>
      </c>
      <c r="I11" s="5">
        <f>B11+F11</f>
        <v/>
      </c>
      <c r="J11" s="5">
        <f>IF(I11&lt;=H11,"YES","NO")</f>
        <v/>
      </c>
      <c r="K11" s="5">
        <f>C11*(D11+$B$2)+E11</f>
        <v/>
      </c>
      <c r="L11" s="5">
        <f>MAX(0,K11-B11-F11)</f>
        <v/>
      </c>
      <c r="M11" s="5">
        <f>IF(J11="YES",CEILING(L11,G11),0)</f>
        <v/>
      </c>
      <c r="N11" s="6">
        <f>IF(C11=0,"",I11/C11)</f>
        <v/>
      </c>
      <c r="O11" s="5">
        <f>IF(G11=0,0,M11/G11)</f>
        <v/>
      </c>
    </row>
    <row r="12">
      <c r="A12" s="4" t="inlineStr">
        <is>
          <t>H</t>
        </is>
      </c>
      <c r="B12" s="4" t="n">
        <v>1000</v>
      </c>
      <c r="C12" s="4" t="n">
        <v>25</v>
      </c>
      <c r="D12" s="4" t="n">
        <v>14</v>
      </c>
      <c r="E12" s="4" t="n">
        <v>100</v>
      </c>
      <c r="F12" s="4" t="n">
        <v>500</v>
      </c>
      <c r="G12" s="4" t="n">
        <v>100</v>
      </c>
      <c r="H12" s="5">
        <f>C12*D12+E12</f>
        <v/>
      </c>
      <c r="I12" s="5">
        <f>B12+F12</f>
        <v/>
      </c>
      <c r="J12" s="5">
        <f>IF(I12&lt;=H12,"YES","NO")</f>
        <v/>
      </c>
      <c r="K12" s="5">
        <f>C12*(D12+$B$2)+E12</f>
        <v/>
      </c>
      <c r="L12" s="5">
        <f>MAX(0,K12-B12-F12)</f>
        <v/>
      </c>
      <c r="M12" s="5">
        <f>IF(J12="YES",CEILING(L12,G12),0)</f>
        <v/>
      </c>
      <c r="N12" s="6">
        <f>IF(C12=0,"",I12/C12)</f>
        <v/>
      </c>
      <c r="O12" s="5">
        <f>IF(G12=0,0,M12/G12)</f>
        <v/>
      </c>
    </row>
    <row r="13"/>
    <row r="14">
      <c r="A14" t="inlineStr">
        <is>
          <t>合计下单量</t>
        </is>
      </c>
      <c r="M14" s="7">
        <f>SUM(M5:M12)</f>
        <v/>
      </c>
    </row>
    <row r="15">
      <c r="A15" t="inlineStr">
        <is>
          <t>触发 SKU 数</t>
        </is>
      </c>
      <c r="M15" s="7">
        <f>COUNTIF(J5:J12,"YES")</f>
        <v/>
      </c>
    </row>
    <row r="16"/>
    <row r="17">
      <c r="A17" s="8" t="inlineStr">
        <is>
          <t>公式：Reorder Point = Avg Daily Demand×Lead Time + Safety Stock；触发条件 On Hand+Open PO ≤ ROP；目标库存 = Demand×(Lead Time+14) + Safety Stock；</t>
        </is>
      </c>
    </row>
    <row r="18">
      <c r="A18" s="8" t="inlineStr">
        <is>
          <t>建议下单量 = MAX(0, 目标库存 − On Hand − Open PO) 向上取整到 Case Pack 整数倍（CEILING）。</t>
        </is>
      </c>
    </row>
  </sheetData>
  <conditionalFormatting sqref="J5:J12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9" customWidth="1" min="3" max="3"/>
    <col width="21" customWidth="1" min="4" max="4"/>
    <col width="31" customWidth="1" min="5" max="5"/>
    <col width="29" customWidth="1" min="6" max="6"/>
    <col width="21" customWidth="1" min="7" max="7"/>
    <col width="56" customWidth="1" min="8" max="8"/>
  </cols>
  <sheetData>
    <row r="1">
      <c r="A1" s="1" t="inlineStr">
        <is>
          <t>异常检查（全部为公式，引用 Replenishment）</t>
        </is>
      </c>
    </row>
    <row r="2">
      <c r="A2" s="3" t="inlineStr">
        <is>
          <t>SKU</t>
        </is>
      </c>
      <c r="B2" s="3" t="inlineStr">
        <is>
          <t>Stockout (On Hand=0)</t>
        </is>
      </c>
      <c r="C2" s="3" t="inlineStr">
        <is>
          <t>Cover &lt; Lead Time</t>
        </is>
      </c>
      <c r="D2" s="3" t="inlineStr">
        <is>
          <t>At/Below ROP by ≤5%</t>
        </is>
      </c>
      <c r="E2" s="3" t="inlineStr">
        <is>
          <t>Overstock (Cover &gt; 2×(LT+14))</t>
        </is>
      </c>
      <c r="F2" s="3" t="inlineStr">
        <is>
          <t>Open PO but still triggered</t>
        </is>
      </c>
      <c r="G2" s="3" t="inlineStr">
        <is>
          <t>Negative/zero input</t>
        </is>
      </c>
      <c r="H2" s="3" t="inlineStr">
        <is>
          <t>Notes</t>
        </is>
      </c>
    </row>
    <row r="3">
      <c r="A3" s="5">
        <f>Replenishment!A5</f>
        <v/>
      </c>
      <c r="B3" s="5">
        <f>IF(Replenishment!B5=0,"YES","")</f>
        <v/>
      </c>
      <c r="C3" s="5">
        <f>IF(Replenishment!N5&lt;Replenishment!D5,"YES","")</f>
        <v/>
      </c>
      <c r="D3" s="5">
        <f>IF(AND(Replenishment!I5&lt;=Replenishment!H5,Replenishment!I5&gt;=Replenishment!H5*0.95),"YES","")</f>
        <v/>
      </c>
      <c r="E3" s="5">
        <f>IF(Replenishment!N5&gt;2*(Replenishment!D5+Replenishment!$B$2),"YES","")</f>
        <v/>
      </c>
      <c r="F3" s="5">
        <f>IF(AND(Replenishment!F5&gt;0,Replenishment!J5="YES"),"YES","")</f>
        <v/>
      </c>
      <c r="G3" s="5">
        <f>IF(OR(Replenishment!B5&lt;0,Replenishment!C5&lt;=0,Replenishment!D5&lt;=0,Replenishment!G5&lt;=0),"YES","")</f>
        <v/>
      </c>
      <c r="H3" s="2" t="inlineStr">
        <is>
          <t>可用量 120 恰等于 ROP 120，边界触发</t>
        </is>
      </c>
    </row>
    <row r="4">
      <c r="A4" s="5">
        <f>Replenishment!A6</f>
        <v/>
      </c>
      <c r="B4" s="5">
        <f>IF(Replenishment!B6=0,"YES","")</f>
        <v/>
      </c>
      <c r="C4" s="5">
        <f>IF(Replenishment!N6&lt;Replenishment!D6,"YES","")</f>
        <v/>
      </c>
      <c r="D4" s="5">
        <f>IF(AND(Replenishment!I6&lt;=Replenishment!H6,Replenishment!I6&gt;=Replenishment!H6*0.95),"YES","")</f>
        <v/>
      </c>
      <c r="E4" s="5">
        <f>IF(Replenishment!N6&gt;2*(Replenishment!D6+Replenishment!$B$2),"YES","")</f>
        <v/>
      </c>
      <c r="F4" s="5">
        <f>IF(AND(Replenishment!F6&gt;0,Replenishment!J6="YES"),"YES","")</f>
        <v/>
      </c>
      <c r="G4" s="5">
        <f>IF(OR(Replenishment!B6&lt;0,Replenishment!C6&lt;=0,Replenishment!D6&lt;=0,Replenishment!G6&lt;=0),"YES","")</f>
        <v/>
      </c>
      <c r="H4" s="2" t="inlineStr"/>
    </row>
    <row r="5">
      <c r="A5" s="5">
        <f>Replenishment!A7</f>
        <v/>
      </c>
      <c r="B5" s="5">
        <f>IF(Replenishment!B7=0,"YES","")</f>
        <v/>
      </c>
      <c r="C5" s="5">
        <f>IF(Replenishment!N7&lt;Replenishment!D7,"YES","")</f>
        <v/>
      </c>
      <c r="D5" s="5">
        <f>IF(AND(Replenishment!I7&lt;=Replenishment!H7,Replenishment!I7&gt;=Replenishment!H7*0.95),"YES","")</f>
        <v/>
      </c>
      <c r="E5" s="5">
        <f>IF(Replenishment!N7&gt;2*(Replenishment!D7+Replenishment!$B$2),"YES","")</f>
        <v/>
      </c>
      <c r="F5" s="5">
        <f>IF(AND(Replenishment!F7&gt;0,Replenishment!J7="YES"),"YES","")</f>
        <v/>
      </c>
      <c r="G5" s="5">
        <f>IF(OR(Replenishment!B7&lt;0,Replenishment!C7&lt;=0,Replenishment!D7&lt;=0,Replenishment!G7&lt;=0),"YES","")</f>
        <v/>
      </c>
      <c r="H5" s="2" t="inlineStr">
        <is>
          <t>覆盖 8 天 &lt; 交期 14 天，缺货风险高</t>
        </is>
      </c>
    </row>
    <row r="6">
      <c r="A6" s="5">
        <f>Replenishment!A8</f>
        <v/>
      </c>
      <c r="B6" s="5">
        <f>IF(Replenishment!B8=0,"YES","")</f>
        <v/>
      </c>
      <c r="C6" s="5">
        <f>IF(Replenishment!N8&lt;Replenishment!D8,"YES","")</f>
        <v/>
      </c>
      <c r="D6" s="5">
        <f>IF(AND(Replenishment!I8&lt;=Replenishment!H8,Replenishment!I8&gt;=Replenishment!H8*0.95),"YES","")</f>
        <v/>
      </c>
      <c r="E6" s="5">
        <f>IF(Replenishment!N8&gt;2*(Replenishment!D8+Replenishment!$B$2),"YES","")</f>
        <v/>
      </c>
      <c r="F6" s="5">
        <f>IF(AND(Replenishment!F8&gt;0,Replenishment!J8="YES"),"YES","")</f>
        <v/>
      </c>
      <c r="G6" s="5">
        <f>IF(OR(Replenishment!B8&lt;0,Replenishment!C8&lt;=0,Replenishment!D8&lt;=0,Replenishment!G8&lt;=0),"YES","")</f>
        <v/>
      </c>
      <c r="H6" s="2" t="inlineStr"/>
    </row>
    <row r="7">
      <c r="A7" s="5">
        <f>Replenishment!A9</f>
        <v/>
      </c>
      <c r="B7" s="5">
        <f>IF(Replenishment!B9=0,"YES","")</f>
        <v/>
      </c>
      <c r="C7" s="5">
        <f>IF(Replenishment!N9&lt;Replenishment!D9,"YES","")</f>
        <v/>
      </c>
      <c r="D7" s="5">
        <f>IF(AND(Replenishment!I9&lt;=Replenishment!H9,Replenishment!I9&gt;=Replenishment!H9*0.95),"YES","")</f>
        <v/>
      </c>
      <c r="E7" s="5">
        <f>IF(Replenishment!N9&gt;2*(Replenishment!D9+Replenishment!$B$2),"YES","")</f>
        <v/>
      </c>
      <c r="F7" s="5">
        <f>IF(AND(Replenishment!F9&gt;0,Replenishment!J9="YES"),"YES","")</f>
        <v/>
      </c>
      <c r="G7" s="5">
        <f>IF(OR(Replenishment!B9&lt;0,Replenishment!C9&lt;=0,Replenishment!D9&lt;=0,Replenishment!G9&lt;=0),"YES","")</f>
        <v/>
      </c>
      <c r="H7" s="2" t="inlineStr">
        <is>
          <t>可用 125 vs ROP 114，接近触发（约 3 天需求）</t>
        </is>
      </c>
    </row>
    <row r="8">
      <c r="A8" s="5">
        <f>Replenishment!A10</f>
        <v/>
      </c>
      <c r="B8" s="5">
        <f>IF(Replenishment!B10=0,"YES","")</f>
        <v/>
      </c>
      <c r="C8" s="5">
        <f>IF(Replenishment!N10&lt;Replenishment!D10,"YES","")</f>
        <v/>
      </c>
      <c r="D8" s="5">
        <f>IF(AND(Replenishment!I10&lt;=Replenishment!H10,Replenishment!I10&gt;=Replenishment!H10*0.95),"YES","")</f>
        <v/>
      </c>
      <c r="E8" s="5">
        <f>IF(Replenishment!N10&gt;2*(Replenishment!D10+Replenishment!$B$2),"YES","")</f>
        <v/>
      </c>
      <c r="F8" s="5">
        <f>IF(AND(Replenishment!F10&gt;0,Replenishment!J10="YES"),"YES","")</f>
        <v/>
      </c>
      <c r="G8" s="5">
        <f>IF(OR(Replenishment!B10&lt;0,Replenishment!C10&lt;=0,Replenishment!D10&lt;=0,Replenishment!G10&lt;=0),"YES","")</f>
        <v/>
      </c>
      <c r="H8" s="2" t="inlineStr">
        <is>
          <t>On Hand=0，Open PO 30 仅覆盖 10 天，交期 30 天，需加急</t>
        </is>
      </c>
    </row>
    <row r="9">
      <c r="A9" s="5">
        <f>Replenishment!A11</f>
        <v/>
      </c>
      <c r="B9" s="5">
        <f>IF(Replenishment!B11=0,"YES","")</f>
        <v/>
      </c>
      <c r="C9" s="5">
        <f>IF(Replenishment!N11&lt;Replenishment!D11,"YES","")</f>
        <v/>
      </c>
      <c r="D9" s="5">
        <f>IF(AND(Replenishment!I11&lt;=Replenishment!H11,Replenishment!I11&gt;=Replenishment!H11*0.95),"YES","")</f>
        <v/>
      </c>
      <c r="E9" s="5">
        <f>IF(Replenishment!N11&gt;2*(Replenishment!D11+Replenishment!$B$2),"YES","")</f>
        <v/>
      </c>
      <c r="F9" s="5">
        <f>IF(AND(Replenishment!F11&gt;0,Replenishment!J11="YES"),"YES","")</f>
        <v/>
      </c>
      <c r="G9" s="5">
        <f>IF(OR(Replenishment!B11&lt;0,Replenishment!C11&lt;=0,Replenishment!D11&lt;=0,Replenishment!G11&lt;=0),"YES","")</f>
        <v/>
      </c>
      <c r="H9" s="2" t="inlineStr"/>
    </row>
    <row r="10">
      <c r="A10" s="5">
        <f>Replenishment!A12</f>
        <v/>
      </c>
      <c r="B10" s="5">
        <f>IF(Replenishment!B12=0,"YES","")</f>
        <v/>
      </c>
      <c r="C10" s="5">
        <f>IF(Replenishment!N12&lt;Replenishment!D12,"YES","")</f>
        <v/>
      </c>
      <c r="D10" s="5">
        <f>IF(AND(Replenishment!I12&lt;=Replenishment!H12,Replenishment!I12&gt;=Replenishment!H12*0.95),"YES","")</f>
        <v/>
      </c>
      <c r="E10" s="5">
        <f>IF(Replenishment!N12&gt;2*(Replenishment!D12+Replenishment!$B$2),"YES","")</f>
        <v/>
      </c>
      <c r="F10" s="5">
        <f>IF(AND(Replenishment!F12&gt;0,Replenishment!J12="YES"),"YES","")</f>
        <v/>
      </c>
      <c r="G10" s="5">
        <f>IF(OR(Replenishment!B12&lt;0,Replenishment!C12&lt;=0,Replenishment!D12&lt;=0,Replenishment!G12&lt;=0),"YES","")</f>
        <v/>
      </c>
      <c r="H10" s="2" t="inlineStr">
        <is>
          <t>覆盖 60 天，远超交期，检查是否过量</t>
        </is>
      </c>
    </row>
  </sheetData>
  <conditionalFormatting sqref="B3:G10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9" customWidth="1" min="8" max="8"/>
  </cols>
  <sheetData>
    <row r="1">
      <c r="A1" s="1" t="inlineStr">
        <is>
          <t>采购清单（仅触发的 SKU 有下单量；引用 Replenishment）</t>
        </is>
      </c>
    </row>
    <row r="2">
      <c r="A2" s="3" t="inlineStr">
        <is>
          <t>SKU</t>
        </is>
      </c>
      <c r="B2" s="3" t="inlineStr">
        <is>
          <t>Trigger?</t>
        </is>
      </c>
      <c r="C2" s="3" t="inlineStr">
        <is>
          <t>Order Qty</t>
        </is>
      </c>
      <c r="D2" s="3" t="inlineStr">
        <is>
          <t>Cases</t>
        </is>
      </c>
      <c r="E2" s="3" t="inlineStr">
        <is>
          <t>Case Pack</t>
        </is>
      </c>
      <c r="F2" s="3" t="inlineStr">
        <is>
          <t>Lead Time Days</t>
        </is>
      </c>
      <c r="G2" s="3" t="inlineStr">
        <is>
          <t>Priority</t>
        </is>
      </c>
      <c r="H2" s="3" t="inlineStr">
        <is>
          <t>Comment</t>
        </is>
      </c>
    </row>
    <row r="3">
      <c r="A3" s="5">
        <f>Replenishment!A5</f>
        <v/>
      </c>
      <c r="B3" s="5">
        <f>Replenishment!J5</f>
        <v/>
      </c>
      <c r="C3" s="5">
        <f>Replenishment!M5</f>
        <v/>
      </c>
      <c r="D3" s="5">
        <f>Replenishment!O5</f>
        <v/>
      </c>
      <c r="E3" s="5">
        <f>Replenishment!G5</f>
        <v/>
      </c>
      <c r="F3" s="5">
        <f>Replenishment!D5</f>
        <v/>
      </c>
      <c r="G3" s="5">
        <f>IF(Replenishment!J5&lt;&gt;"YES","",IF(Replenishment!B5=0,"P1-Expedite",IF(Replenishment!N5&lt;Replenishment!D5,"P1","P2")))</f>
        <v/>
      </c>
    </row>
    <row r="4">
      <c r="A4" s="5">
        <f>Replenishment!A6</f>
        <v/>
      </c>
      <c r="B4" s="5">
        <f>Replenishment!J6</f>
        <v/>
      </c>
      <c r="C4" s="5">
        <f>Replenishment!M6</f>
        <v/>
      </c>
      <c r="D4" s="5">
        <f>Replenishment!O6</f>
        <v/>
      </c>
      <c r="E4" s="5">
        <f>Replenishment!G6</f>
        <v/>
      </c>
      <c r="F4" s="5">
        <f>Replenishment!D6</f>
        <v/>
      </c>
      <c r="G4" s="5">
        <f>IF(Replenishment!J6&lt;&gt;"YES","",IF(Replenishment!B6=0,"P1-Expedite",IF(Replenishment!N6&lt;Replenishment!D6,"P1","P2")))</f>
        <v/>
      </c>
    </row>
    <row r="5">
      <c r="A5" s="5">
        <f>Replenishment!A7</f>
        <v/>
      </c>
      <c r="B5" s="5">
        <f>Replenishment!J7</f>
        <v/>
      </c>
      <c r="C5" s="5">
        <f>Replenishment!M7</f>
        <v/>
      </c>
      <c r="D5" s="5">
        <f>Replenishment!O7</f>
        <v/>
      </c>
      <c r="E5" s="5">
        <f>Replenishment!G7</f>
        <v/>
      </c>
      <c r="F5" s="5">
        <f>Replenishment!D7</f>
        <v/>
      </c>
      <c r="G5" s="5">
        <f>IF(Replenishment!J7&lt;&gt;"YES","",IF(Replenishment!B7=0,"P1-Expedite",IF(Replenishment!N7&lt;Replenishment!D7,"P1","P2")))</f>
        <v/>
      </c>
    </row>
    <row r="6">
      <c r="A6" s="5">
        <f>Replenishment!A8</f>
        <v/>
      </c>
      <c r="B6" s="5">
        <f>Replenishment!J8</f>
        <v/>
      </c>
      <c r="C6" s="5">
        <f>Replenishment!M8</f>
        <v/>
      </c>
      <c r="D6" s="5">
        <f>Replenishment!O8</f>
        <v/>
      </c>
      <c r="E6" s="5">
        <f>Replenishment!G8</f>
        <v/>
      </c>
      <c r="F6" s="5">
        <f>Replenishment!D8</f>
        <v/>
      </c>
      <c r="G6" s="5">
        <f>IF(Replenishment!J8&lt;&gt;"YES","",IF(Replenishment!B8=0,"P1-Expedite",IF(Replenishment!N8&lt;Replenishment!D8,"P1","P2")))</f>
        <v/>
      </c>
    </row>
    <row r="7">
      <c r="A7" s="5">
        <f>Replenishment!A9</f>
        <v/>
      </c>
      <c r="B7" s="5">
        <f>Replenishment!J9</f>
        <v/>
      </c>
      <c r="C7" s="5">
        <f>Replenishment!M9</f>
        <v/>
      </c>
      <c r="D7" s="5">
        <f>Replenishment!O9</f>
        <v/>
      </c>
      <c r="E7" s="5">
        <f>Replenishment!G9</f>
        <v/>
      </c>
      <c r="F7" s="5">
        <f>Replenishment!D9</f>
        <v/>
      </c>
      <c r="G7" s="5">
        <f>IF(Replenishment!J9&lt;&gt;"YES","",IF(Replenishment!B9=0,"P1-Expedite",IF(Replenishment!N9&lt;Replenishment!D9,"P1","P2")))</f>
        <v/>
      </c>
    </row>
    <row r="8">
      <c r="A8" s="5">
        <f>Replenishment!A10</f>
        <v/>
      </c>
      <c r="B8" s="5">
        <f>Replenishment!J10</f>
        <v/>
      </c>
      <c r="C8" s="5">
        <f>Replenishment!M10</f>
        <v/>
      </c>
      <c r="D8" s="5">
        <f>Replenishment!O10</f>
        <v/>
      </c>
      <c r="E8" s="5">
        <f>Replenishment!G10</f>
        <v/>
      </c>
      <c r="F8" s="5">
        <f>Replenishment!D10</f>
        <v/>
      </c>
      <c r="G8" s="5">
        <f>IF(Replenishment!J10&lt;&gt;"YES","",IF(Replenishment!B10=0,"P1-Expedite",IF(Replenishment!N10&lt;Replenishment!D10,"P1","P2")))</f>
        <v/>
      </c>
    </row>
    <row r="9">
      <c r="A9" s="5">
        <f>Replenishment!A11</f>
        <v/>
      </c>
      <c r="B9" s="5">
        <f>Replenishment!J11</f>
        <v/>
      </c>
      <c r="C9" s="5">
        <f>Replenishment!M11</f>
        <v/>
      </c>
      <c r="D9" s="5">
        <f>Replenishment!O11</f>
        <v/>
      </c>
      <c r="E9" s="5">
        <f>Replenishment!G11</f>
        <v/>
      </c>
      <c r="F9" s="5">
        <f>Replenishment!D11</f>
        <v/>
      </c>
      <c r="G9" s="5">
        <f>IF(Replenishment!J11&lt;&gt;"YES","",IF(Replenishment!B11=0,"P1-Expedite",IF(Replenishment!N11&lt;Replenishment!D11,"P1","P2")))</f>
        <v/>
      </c>
    </row>
    <row r="10">
      <c r="A10" s="5">
        <f>Replenishment!A12</f>
        <v/>
      </c>
      <c r="B10" s="5">
        <f>Replenishment!J12</f>
        <v/>
      </c>
      <c r="C10" s="5">
        <f>Replenishment!M12</f>
        <v/>
      </c>
      <c r="D10" s="5">
        <f>Replenishment!O12</f>
        <v/>
      </c>
      <c r="E10" s="5">
        <f>Replenishment!G12</f>
        <v/>
      </c>
      <c r="F10" s="5">
        <f>Replenishment!D12</f>
        <v/>
      </c>
      <c r="G10" s="5">
        <f>IF(Replenishment!J12&lt;&gt;"YES","",IF(Replenishment!B12=0,"P1-Expedite",IF(Replenishment!N12&lt;Replenishment!D12,"P1","P2")))</f>
        <v/>
      </c>
    </row>
    <row r="11"/>
    <row r="12">
      <c r="A12" t="inlineStr">
        <is>
          <t>合计</t>
        </is>
      </c>
      <c r="C12" s="7">
        <f>SUM(C3:C10)</f>
        <v/>
      </c>
    </row>
  </sheetData>
  <conditionalFormatting sqref="B3:B10">
    <cfRule type="cellIs" priority="1" operator="equal" dxfId="1">
      <formula>"YES"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2026-09-02T02:01:20Z</dcterms:created>
  <dcterms:modified xmlns:dcterms="http://purl.org/dc/terms/" xmlns:xsi="http://www.w3.org/2001/XMLSchema-instance" xsi:type="dcterms:W3CDTF">2026-09-02T02:01:20Z</dcterms:modified>
</cp:coreProperties>
</file>