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Decision 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0.000"/>
    <numFmt numFmtId="167" formatCode="+0.0;-0.0;0.0"/>
    <numFmt numFmtId="168" formatCode="+0.0%;-0.0%;0.0%"/>
  </numFmts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3"/>
    </font>
    <font>
      <name val="Microsoft YaHei"/>
      <b val="1"/>
      <color rgb="00FFFFFF"/>
    </font>
    <font>
      <b val="1"/>
    </font>
    <font>
      <name val="Microsoft YaHei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4" borderId="0" pivotButton="0" quotePrefix="0" xfId="0"/>
    <xf numFmtId="164" fontId="0" fillId="3" borderId="1" pivotButton="0" quotePrefix="0" xfId="0"/>
    <xf numFmtId="165" fontId="0" fillId="4" borderId="0" pivotButton="0" quotePrefix="0" xfId="0"/>
    <xf numFmtId="0" fontId="3" fillId="0" borderId="0" pivotButton="0" quotePrefix="0" xfId="0"/>
    <xf numFmtId="9" fontId="0" fillId="4" borderId="0" pivotButton="0" quotePrefix="0" xfId="0"/>
    <xf numFmtId="1" fontId="0" fillId="4" borderId="0" pivotButton="0" quotePrefix="0" xfId="0"/>
    <xf numFmtId="166" fontId="0" fillId="4" borderId="0" pivotButton="0" quotePrefix="0" xfId="0"/>
    <xf numFmtId="10" fontId="0" fillId="4" borderId="0" pivotButton="0" quotePrefix="0" xfId="0"/>
    <xf numFmtId="10" fontId="0" fillId="3" borderId="0" pivotButton="0" quotePrefix="0" xfId="0"/>
    <xf numFmtId="167" fontId="0" fillId="4" borderId="0" pivotButton="0" quotePrefix="0" xfId="0"/>
    <xf numFmtId="168" fontId="0" fillId="4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2" fontId="0" fillId="4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提价 8% 净 ARR 变化 vs 额外流失率（$m）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'Decision Scenarios'!C2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'Decision Scenarios'!$A$3:$A$9</f>
            </numRef>
          </cat>
          <val>
            <numRef>
              <f>'Decision Scenarios'!$C$3:$C$9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8" customWidth="1" min="8" max="8"/>
  </cols>
  <sheetData>
    <row r="1">
      <c r="A1" s="1" t="inlineStr">
        <is>
          <t>经营 KPI（输入=黄色；变化=公式）</t>
        </is>
      </c>
    </row>
    <row r="2">
      <c r="A2" s="2" t="inlineStr">
        <is>
          <t>指标</t>
        </is>
      </c>
      <c r="B2" s="2" t="inlineStr">
        <is>
          <t>Q2</t>
        </is>
      </c>
      <c r="C2" s="2" t="inlineStr">
        <is>
          <t>Q1</t>
        </is>
      </c>
      <c r="D2" s="2" t="inlineStr">
        <is>
          <t>Q2 LY</t>
        </is>
      </c>
      <c r="E2" s="2" t="inlineStr">
        <is>
          <t>QoQ 变化</t>
        </is>
      </c>
      <c r="F2" s="2" t="inlineStr">
        <is>
          <t>YoY 变化</t>
        </is>
      </c>
      <c r="G2" s="2" t="inlineStr">
        <is>
          <t>变化口径</t>
        </is>
      </c>
      <c r="H2" s="2" t="inlineStr">
        <is>
          <t>事实 / 判断</t>
        </is>
      </c>
    </row>
    <row r="3">
      <c r="A3" t="inlineStr">
        <is>
          <t>ARR ($m)</t>
        </is>
      </c>
      <c r="B3" s="3" t="n">
        <v>120</v>
      </c>
      <c r="C3" s="3" t="n">
        <v>110</v>
      </c>
      <c r="D3" s="3" t="n">
        <v>95</v>
      </c>
      <c r="E3" s="4">
        <f>B3/C3-1</f>
        <v/>
      </c>
      <c r="F3" s="4">
        <f>B3/D3-1</f>
        <v/>
      </c>
      <c r="G3" t="inlineStr">
        <is>
          <t>百分比（%）</t>
        </is>
      </c>
      <c r="H3" t="inlineStr">
        <is>
          <t>事实：增长放缓但仍为正</t>
        </is>
      </c>
    </row>
    <row r="4">
      <c r="A4" t="inlineStr">
        <is>
          <t>NRR</t>
        </is>
      </c>
      <c r="B4" s="5" t="n">
        <v>1.04</v>
      </c>
      <c r="C4" s="5" t="n">
        <v>1.1</v>
      </c>
      <c r="D4" s="5" t="n">
        <v>1.12</v>
      </c>
      <c r="E4" s="4">
        <f>B4-C4</f>
        <v/>
      </c>
      <c r="F4" s="4">
        <f>B4-D4</f>
        <v/>
      </c>
      <c r="G4" t="inlineStr">
        <is>
          <t>百分点（pp）</t>
        </is>
      </c>
      <c r="H4" t="inlineStr">
        <is>
          <t>事实：连续两季下降；判断：与上线慢/AI 准确性相关（访谈）</t>
        </is>
      </c>
    </row>
    <row r="5">
      <c r="A5" t="inlineStr">
        <is>
          <t>Gross Margin</t>
        </is>
      </c>
      <c r="B5" s="5" t="n">
        <v>0.68</v>
      </c>
      <c r="C5" s="5" t="n">
        <v>0.72</v>
      </c>
      <c r="D5" s="5" t="n">
        <v>0.7</v>
      </c>
      <c r="E5" s="4">
        <f>B5-C5</f>
        <v/>
      </c>
      <c r="F5" s="4">
        <f>B5-D5</f>
        <v/>
      </c>
      <c r="G5" t="inlineStr">
        <is>
          <t>百分点（pp）</t>
        </is>
      </c>
      <c r="H5" t="inlineStr">
        <is>
          <t>事实：季度 −4pp；原因未知（待 CFO 拆分）</t>
        </is>
      </c>
    </row>
    <row r="6">
      <c r="A6" t="inlineStr">
        <is>
          <t>Logo Churn</t>
        </is>
      </c>
      <c r="B6" s="5" t="n">
        <v>0.028</v>
      </c>
      <c r="C6" s="5" t="n">
        <v>0.019</v>
      </c>
      <c r="D6" s="5" t="n">
        <v>0.017</v>
      </c>
      <c r="E6" s="4">
        <f>B6-C6</f>
        <v/>
      </c>
      <c r="F6" s="4">
        <f>B6-D6</f>
        <v/>
      </c>
      <c r="G6" t="inlineStr">
        <is>
          <t>百分点（pp）</t>
        </is>
      </c>
      <c r="H6" t="inlineStr">
        <is>
          <t>事实：接近翻倍</t>
        </is>
      </c>
    </row>
    <row r="7">
      <c r="A7" t="inlineStr">
        <is>
          <t>New Logos</t>
        </is>
      </c>
      <c r="B7" s="3" t="n">
        <v>40</v>
      </c>
      <c r="C7" s="3" t="n">
        <v>55</v>
      </c>
      <c r="D7" s="3" t="n">
        <v>48</v>
      </c>
      <c r="E7" s="4">
        <f>B7/C7-1</f>
        <v/>
      </c>
      <c r="F7" s="4">
        <f>B7/D7-1</f>
        <v/>
      </c>
      <c r="G7" t="inlineStr">
        <is>
          <t>百分比（%）</t>
        </is>
      </c>
      <c r="H7" t="inlineStr">
        <is>
          <t>事实：新客获取放缓</t>
        </is>
      </c>
    </row>
    <row r="8">
      <c r="A8" t="inlineStr">
        <is>
          <t>Cash ($m)</t>
        </is>
      </c>
      <c r="B8" s="3" t="n">
        <v>28</v>
      </c>
      <c r="C8" s="3" t="n">
        <v>31</v>
      </c>
      <c r="D8" s="3" t="n">
        <v>36</v>
      </c>
      <c r="E8" s="4">
        <f>B8/C8-1</f>
        <v/>
      </c>
      <c r="F8" s="4">
        <f>B8/D8-1</f>
        <v/>
      </c>
      <c r="G8" t="inlineStr">
        <is>
          <t>百分比（%）</t>
        </is>
      </c>
      <c r="H8" t="inlineStr">
        <is>
          <t>事实</t>
        </is>
      </c>
    </row>
    <row r="9">
      <c r="A9" t="inlineStr">
        <is>
          <t>Monthly Cash Burn ($m)</t>
        </is>
      </c>
      <c r="B9" s="3" t="n">
        <v>3</v>
      </c>
      <c r="C9" s="3" t="n">
        <v>2.5</v>
      </c>
      <c r="D9" s="3" t="n">
        <v>2.2</v>
      </c>
      <c r="E9" s="4">
        <f>B9/C9-1</f>
        <v/>
      </c>
      <c r="F9" s="4">
        <f>B9/D9-1</f>
        <v/>
      </c>
      <c r="G9" t="inlineStr">
        <is>
          <t>百分比（%）</t>
        </is>
      </c>
      <c r="H9" t="inlineStr">
        <is>
          <t>事实：烧钱上升</t>
        </is>
      </c>
    </row>
    <row r="10"/>
    <row r="11">
      <c r="A11" t="inlineStr">
        <is>
          <t>现金跑道（月）= Cash / Monthly Burn</t>
        </is>
      </c>
      <c r="B11" s="6">
        <f>B8/B9</f>
        <v/>
      </c>
      <c r="C11" s="6">
        <f>C8/C9</f>
        <v/>
      </c>
      <c r="D11" s="6">
        <f>D8/D9</f>
        <v/>
      </c>
    </row>
    <row r="12">
      <c r="A12" s="7" t="inlineStr">
        <is>
          <t>客户与销售输入</t>
        </is>
      </c>
    </row>
    <row r="13">
      <c r="A13" t="inlineStr">
        <is>
          <t>要求 99.95% SLA 的企业客户数</t>
        </is>
      </c>
      <c r="B13" s="3" t="n">
        <v>5</v>
      </c>
    </row>
    <row r="14">
      <c r="A14" t="inlineStr">
        <is>
          <t>其中愿为高级 SLA 付费</t>
        </is>
      </c>
      <c r="B14" s="3" t="n">
        <v>2</v>
      </c>
    </row>
    <row r="15">
      <c r="A15" t="inlineStr">
        <is>
          <t>当前标准 SLA</t>
        </is>
      </c>
      <c r="B15" s="5" t="n">
        <v>0.999</v>
      </c>
    </row>
    <row r="16">
      <c r="A16" t="inlineStr">
        <is>
          <t>流失访谈数</t>
        </is>
      </c>
      <c r="B16" s="3" t="n">
        <v>10</v>
      </c>
    </row>
    <row r="17">
      <c r="A17" t="inlineStr">
        <is>
          <t>提到上线慢</t>
        </is>
      </c>
      <c r="B17" s="3" t="n">
        <v>6</v>
      </c>
    </row>
    <row r="18">
      <c r="A18" t="inlineStr">
        <is>
          <t>提到 AI 摘要准确性</t>
        </is>
      </c>
      <c r="B18" s="3" t="n">
        <v>3</v>
      </c>
    </row>
    <row r="19">
      <c r="A19" t="inlineStr">
        <is>
          <t>提到价格</t>
        </is>
      </c>
      <c r="B19" s="3" t="n">
        <v>1</v>
      </c>
    </row>
    <row r="20">
      <c r="A20" t="inlineStr">
        <is>
          <t>AI 模块离线准确率</t>
        </is>
      </c>
      <c r="B20" s="5" t="n">
        <v>0.88</v>
      </c>
    </row>
    <row r="21">
      <c r="A21" t="inlineStr">
        <is>
          <t>AI 上线门槛</t>
        </is>
      </c>
      <c r="B21" s="5" t="n">
        <v>0.92</v>
      </c>
    </row>
    <row r="22">
      <c r="A22" t="inlineStr">
        <is>
          <t>现行自动续约通知提前天数</t>
        </is>
      </c>
      <c r="B22" s="3" t="n">
        <v>30</v>
      </c>
    </row>
    <row r="23">
      <c r="A23" t="inlineStr">
        <is>
          <t>两个地区政策要求最少天数</t>
        </is>
      </c>
      <c r="B23" s="3" t="n">
        <v>60</v>
      </c>
    </row>
    <row r="24">
      <c r="A24" t="inlineStr">
        <is>
          <t>方案 1 年成本 ($m)</t>
        </is>
      </c>
      <c r="B24" s="3" t="n">
        <v>0.36</v>
      </c>
    </row>
    <row r="25">
      <c r="A25" t="inlineStr">
        <is>
          <t>方案 1 上线期：当前（周）</t>
        </is>
      </c>
      <c r="B25" s="3" t="n">
        <v>10</v>
      </c>
    </row>
    <row r="26">
      <c r="A26" t="inlineStr">
        <is>
          <t>方案 1 上线期：预计（周）</t>
        </is>
      </c>
      <c r="B26" s="3" t="n">
        <v>7</v>
      </c>
    </row>
    <row r="27">
      <c r="A27" t="inlineStr">
        <is>
          <t>方案 2 一次性工程投入 ($m)</t>
        </is>
      </c>
      <c r="B27" s="3" t="n">
        <v>0.25</v>
      </c>
    </row>
    <row r="28">
      <c r="A28" t="inlineStr">
        <is>
          <t>方案 3 提价幅度</t>
        </is>
      </c>
      <c r="B28" s="5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14" customWidth="1" min="3" max="3"/>
    <col width="30" customWidth="1" min="4" max="4"/>
  </cols>
  <sheetData>
    <row r="1">
      <c r="A1" s="1" t="inlineStr">
        <is>
          <t>自算数据（全部引用 KPI 表）</t>
        </is>
      </c>
    </row>
    <row r="2">
      <c r="A2" s="2" t="inlineStr">
        <is>
          <t>计算项</t>
        </is>
      </c>
      <c r="B2" s="2" t="inlineStr">
        <is>
          <t>公式</t>
        </is>
      </c>
      <c r="C2" s="2" t="inlineStr">
        <is>
          <t>结果</t>
        </is>
      </c>
      <c r="D2" s="2" t="inlineStr">
        <is>
          <t>标注</t>
        </is>
      </c>
    </row>
    <row r="3">
      <c r="A3" t="inlineStr">
        <is>
          <t>ARR QoQ 增长</t>
        </is>
      </c>
      <c r="B3" t="inlineStr">
        <is>
          <t>KPI!B3/KPI!C3-1</t>
        </is>
      </c>
      <c r="C3" s="4">
        <f>KPI!B3/KPI!C3-1</f>
        <v/>
      </c>
      <c r="D3" t="inlineStr">
        <is>
          <t>测算</t>
        </is>
      </c>
    </row>
    <row r="4">
      <c r="A4" t="inlineStr">
        <is>
          <t>ARR YoY 增长</t>
        </is>
      </c>
      <c r="B4" t="inlineStr">
        <is>
          <t>KPI!B3/KPI!D3-1</t>
        </is>
      </c>
      <c r="C4" s="4">
        <f>KPI!B3/KPI!D3-1</f>
        <v/>
      </c>
      <c r="D4" t="inlineStr">
        <is>
          <t>测算</t>
        </is>
      </c>
    </row>
    <row r="5">
      <c r="A5" t="inlineStr">
        <is>
          <t>NRR QoQ 变化（pp）</t>
        </is>
      </c>
      <c r="B5" t="inlineStr">
        <is>
          <t>KPI!B4-KPI!C4</t>
        </is>
      </c>
      <c r="C5" s="4">
        <f>KPI!B4-KPI!C4</f>
        <v/>
      </c>
      <c r="D5" t="inlineStr">
        <is>
          <t>测算</t>
        </is>
      </c>
    </row>
    <row r="6">
      <c r="A6" t="inlineStr">
        <is>
          <t>毛利率 QoQ 变化（pp）</t>
        </is>
      </c>
      <c r="B6" t="inlineStr">
        <is>
          <t>KPI!B5-KPI!C5</t>
        </is>
      </c>
      <c r="C6" s="4">
        <f>KPI!B5-KPI!C5</f>
        <v/>
      </c>
      <c r="D6" t="inlineStr">
        <is>
          <t>测算</t>
        </is>
      </c>
    </row>
    <row r="7">
      <c r="A7" t="inlineStr">
        <is>
          <t>Logo Churn QoQ 变化（pp）</t>
        </is>
      </c>
      <c r="B7" t="inlineStr">
        <is>
          <t>KPI!B6-KPI!C6</t>
        </is>
      </c>
      <c r="C7" s="4">
        <f>KPI!B6-KPI!C6</f>
        <v/>
      </c>
      <c r="D7" t="inlineStr">
        <is>
          <t>测算</t>
        </is>
      </c>
    </row>
    <row r="8">
      <c r="A8" t="inlineStr">
        <is>
          <t>新客数 QoQ 变化</t>
        </is>
      </c>
      <c r="B8" t="inlineStr">
        <is>
          <t>KPI!B7/KPI!C7-1</t>
        </is>
      </c>
      <c r="C8" s="4">
        <f>KPI!B7/KPI!C7-1</f>
        <v/>
      </c>
      <c r="D8" t="inlineStr">
        <is>
          <t>测算</t>
        </is>
      </c>
    </row>
    <row r="9">
      <c r="A9" t="inlineStr">
        <is>
          <t>现金跑道 Q2（月）</t>
        </is>
      </c>
      <c r="B9" t="inlineStr">
        <is>
          <t>KPI!B8/KPI!B9</t>
        </is>
      </c>
      <c r="C9" s="6">
        <f>KPI!B8/KPI!B9</f>
        <v/>
      </c>
      <c r="D9" t="inlineStr">
        <is>
          <t>测算（简单口径）</t>
        </is>
      </c>
    </row>
    <row r="10">
      <c r="A10" t="inlineStr">
        <is>
          <t>现金跑道 Q1（月）</t>
        </is>
      </c>
      <c r="B10" t="inlineStr">
        <is>
          <t>KPI!C8/KPI!C9</t>
        </is>
      </c>
      <c r="C10" s="6">
        <f>KPI!C8/KPI!C9</f>
        <v/>
      </c>
      <c r="D10" t="inlineStr">
        <is>
          <t>测算</t>
        </is>
      </c>
    </row>
    <row r="11">
      <c r="A11" t="inlineStr">
        <is>
          <t>现金跑道 Q2 LY（月）</t>
        </is>
      </c>
      <c r="B11" t="inlineStr">
        <is>
          <t>KPI!D8/KPI!D9</t>
        </is>
      </c>
      <c r="C11" s="6">
        <f>KPI!D8/KPI!D9</f>
        <v/>
      </c>
      <c r="D11" t="inlineStr">
        <is>
          <t>测算</t>
        </is>
      </c>
    </row>
    <row r="12">
      <c r="A12" t="inlineStr">
        <is>
          <t>流失访谈提到上线慢的比例</t>
        </is>
      </c>
      <c r="B12" t="inlineStr">
        <is>
          <t>KPI!B17/KPI!B16</t>
        </is>
      </c>
      <c r="C12" s="8">
        <f>KPI!B17/KPI!B16</f>
        <v/>
      </c>
      <c r="D12" t="inlineStr">
        <is>
          <t>事实（10 个访谈）</t>
        </is>
      </c>
    </row>
    <row r="13">
      <c r="A13" t="inlineStr">
        <is>
          <t>提到 AI 准确性的比例</t>
        </is>
      </c>
      <c r="B13" t="inlineStr">
        <is>
          <t>KPI!B18/KPI!B16</t>
        </is>
      </c>
      <c r="C13" s="8">
        <f>KPI!B18/KPI!B16</f>
        <v/>
      </c>
      <c r="D13" t="inlineStr">
        <is>
          <t>事实</t>
        </is>
      </c>
    </row>
    <row r="14">
      <c r="A14" t="inlineStr">
        <is>
          <t>提到价格的比例</t>
        </is>
      </c>
      <c r="B14" t="inlineStr">
        <is>
          <t>KPI!B19/KPI!B16</t>
        </is>
      </c>
      <c r="C14" s="8">
        <f>KPI!B19/KPI!B16</f>
        <v/>
      </c>
      <c r="D14" t="inlineStr">
        <is>
          <t>事实</t>
        </is>
      </c>
    </row>
    <row r="15">
      <c r="A15" t="inlineStr">
        <is>
          <t>AI 准确率与门槛差距（pp）</t>
        </is>
      </c>
      <c r="B15" t="inlineStr">
        <is>
          <t>KPI!B21-KPI!B20</t>
        </is>
      </c>
      <c r="C15" s="4">
        <f>KPI!B21-KPI!B20</f>
        <v/>
      </c>
      <c r="D15" t="inlineStr">
        <is>
          <t>事实</t>
        </is>
      </c>
    </row>
    <row r="16">
      <c r="A16" t="inlineStr">
        <is>
          <t>续约通知缺口（天）</t>
        </is>
      </c>
      <c r="B16" t="inlineStr">
        <is>
          <t>KPI!B23-KPI!B22</t>
        </is>
      </c>
      <c r="C16" s="9">
        <f>KPI!B23-KPI!B22</f>
        <v/>
      </c>
      <c r="D16" t="inlineStr">
        <is>
          <t>事实</t>
        </is>
      </c>
    </row>
    <row r="17">
      <c r="A17" t="inlineStr">
        <is>
          <t>方案 1 月成本 ($m)</t>
        </is>
      </c>
      <c r="B17" t="inlineStr">
        <is>
          <t>KPI!B24/12</t>
        </is>
      </c>
      <c r="C17" s="10">
        <f>KPI!B24/12</f>
        <v/>
      </c>
      <c r="D17" t="inlineStr">
        <is>
          <t>测算</t>
        </is>
      </c>
    </row>
    <row r="18">
      <c r="A18" t="inlineStr">
        <is>
          <t>方案 1 后月烧钱 ($m)</t>
        </is>
      </c>
      <c r="B18" t="inlineStr">
        <is>
          <t>KPI!B9+C17</t>
        </is>
      </c>
      <c r="C18" s="10">
        <f>KPI!B9+C17</f>
        <v/>
      </c>
      <c r="D18" t="inlineStr">
        <is>
          <t>测算</t>
        </is>
      </c>
    </row>
    <row r="19">
      <c r="A19" t="inlineStr">
        <is>
          <t>方案 1 后跑道（月）</t>
        </is>
      </c>
      <c r="B19" t="inlineStr">
        <is>
          <t>KPI!B8/C18</t>
        </is>
      </c>
      <c r="C19" s="6">
        <f>KPI!B8/C18</f>
        <v/>
      </c>
      <c r="D19" t="inlineStr">
        <is>
          <t>测算</t>
        </is>
      </c>
    </row>
    <row r="20">
      <c r="A20" t="inlineStr">
        <is>
          <t>方案 1 上线期缩短</t>
        </is>
      </c>
      <c r="B20" t="inlineStr">
        <is>
          <t>1-KPI!B26/KPI!B25</t>
        </is>
      </c>
      <c r="C20" s="8">
        <f>1-KPI!B26/KPI!B25</f>
        <v/>
      </c>
      <c r="D20" t="inlineStr">
        <is>
          <t>管理层估计，未经试点</t>
        </is>
      </c>
    </row>
    <row r="21">
      <c r="A21" t="inlineStr">
        <is>
          <t>方案 1+2 后跑道（月）</t>
        </is>
      </c>
      <c r="B21" t="inlineStr">
        <is>
          <t>(KPI!B8-KPI!B27)/C18</t>
        </is>
      </c>
      <c r="C21" s="6">
        <f>(KPI!B8-KPI!B27)/C18</f>
        <v/>
      </c>
      <c r="D21" t="inlineStr">
        <is>
          <t>测算：一次性 0.25 从现金扣除</t>
        </is>
      </c>
    </row>
    <row r="22">
      <c r="A22" t="inlineStr">
        <is>
          <t>方案 3 理论年化毛增量 ($m)</t>
        </is>
      </c>
      <c r="B22" t="inlineStr">
        <is>
          <t>KPI!B3*KPI!B28</t>
        </is>
      </c>
      <c r="C22" s="6">
        <f>KPI!B3*KPI!B28</f>
        <v/>
      </c>
      <c r="D22" t="inlineStr">
        <is>
          <t>测算，未考虑流失/折扣/时点</t>
        </is>
      </c>
    </row>
    <row r="23">
      <c r="A23" t="inlineStr">
        <is>
          <t>方案 3 盈亏平衡额外流失率</t>
        </is>
      </c>
      <c r="B23" t="inlineStr">
        <is>
          <t>1-1/(1+KPI!B28)</t>
        </is>
      </c>
      <c r="C23" s="11">
        <f>1-1/(1+KPI!B28)</f>
        <v/>
      </c>
      <c r="D23" t="inlineStr">
        <is>
          <t>测算：1.08×(1−c)=1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6" customWidth="1" min="1" max="1"/>
    <col width="43" customWidth="1" min="2" max="2"/>
    <col width="52" customWidth="1" min="3" max="3"/>
    <col width="14" customWidth="1" min="4" max="4"/>
    <col width="23" customWidth="1" min="5" max="5"/>
  </cols>
  <sheetData>
    <row r="1">
      <c r="A1" s="1" t="inlineStr">
        <is>
          <t>决定 3：全体提价 8% 的流失弹性情景（ARR $m；公式）</t>
        </is>
      </c>
    </row>
    <row r="2">
      <c r="A2" s="2" t="inlineStr">
        <is>
          <t>额外流失率 c</t>
        </is>
      </c>
      <c r="B2" s="2" t="inlineStr">
        <is>
          <t>提价后 ARR = ARR×(1+8%)×(1−c)</t>
        </is>
      </c>
      <c r="C2" s="2" t="inlineStr">
        <is>
          <t>净变化 vs 当前 ARR</t>
        </is>
      </c>
      <c r="D2" s="2" t="inlineStr">
        <is>
          <t>净变化 %</t>
        </is>
      </c>
      <c r="E2" s="2" t="inlineStr">
        <is>
          <t>判断</t>
        </is>
      </c>
    </row>
    <row r="3">
      <c r="A3" s="12" t="n">
        <v>0</v>
      </c>
      <c r="B3" s="6">
        <f>KPI!$B$3*(1+KPI!$B$28)*(1-A3)</f>
        <v/>
      </c>
      <c r="C3" s="13">
        <f>B3-KPI!$B$3</f>
        <v/>
      </c>
      <c r="D3" s="14">
        <f>C3/KPI!$B$3</f>
        <v/>
      </c>
      <c r="E3" s="15">
        <f>IF(C3&gt;0,"正增量","无增量/负增量")</f>
        <v/>
      </c>
    </row>
    <row r="4">
      <c r="A4" s="12" t="n">
        <v>0.02</v>
      </c>
      <c r="B4" s="6">
        <f>KPI!$B$3*(1+KPI!$B$28)*(1-A4)</f>
        <v/>
      </c>
      <c r="C4" s="13">
        <f>B4-KPI!$B$3</f>
        <v/>
      </c>
      <c r="D4" s="14">
        <f>C4/KPI!$B$3</f>
        <v/>
      </c>
      <c r="E4" s="15">
        <f>IF(C4&gt;0,"正增量","无增量/负增量")</f>
        <v/>
      </c>
    </row>
    <row r="5">
      <c r="A5" s="12" t="n">
        <v>0.04</v>
      </c>
      <c r="B5" s="6">
        <f>KPI!$B$3*(1+KPI!$B$28)*(1-A5)</f>
        <v/>
      </c>
      <c r="C5" s="13">
        <f>B5-KPI!$B$3</f>
        <v/>
      </c>
      <c r="D5" s="14">
        <f>C5/KPI!$B$3</f>
        <v/>
      </c>
      <c r="E5" s="15">
        <f>IF(C5&gt;0,"正增量","无增量/负增量")</f>
        <v/>
      </c>
    </row>
    <row r="6">
      <c r="A6" s="12" t="n">
        <v>0.06</v>
      </c>
      <c r="B6" s="6">
        <f>KPI!$B$3*(1+KPI!$B$28)*(1-A6)</f>
        <v/>
      </c>
      <c r="C6" s="13">
        <f>B6-KPI!$B$3</f>
        <v/>
      </c>
      <c r="D6" s="14">
        <f>C6/KPI!$B$3</f>
        <v/>
      </c>
      <c r="E6" s="15">
        <f>IF(C6&gt;0,"正增量","无增量/负增量")</f>
        <v/>
      </c>
    </row>
    <row r="7">
      <c r="A7" s="12" t="n">
        <v>0.0741</v>
      </c>
      <c r="B7" s="6">
        <f>KPI!$B$3*(1+KPI!$B$28)*(1-A7)</f>
        <v/>
      </c>
      <c r="C7" s="13">
        <f>B7-KPI!$B$3</f>
        <v/>
      </c>
      <c r="D7" s="14">
        <f>C7/KPI!$B$3</f>
        <v/>
      </c>
      <c r="E7" s="15">
        <f>IF(C7&gt;0,"正增量","无增量/负增量")</f>
        <v/>
      </c>
    </row>
    <row r="8">
      <c r="A8" s="12" t="n">
        <v>0.1</v>
      </c>
      <c r="B8" s="6">
        <f>KPI!$B$3*(1+KPI!$B$28)*(1-A8)</f>
        <v/>
      </c>
      <c r="C8" s="13">
        <f>B8-KPI!$B$3</f>
        <v/>
      </c>
      <c r="D8" s="14">
        <f>C8/KPI!$B$3</f>
        <v/>
      </c>
      <c r="E8" s="15">
        <f>IF(C8&gt;0,"正增量","无增量/负增量")</f>
        <v/>
      </c>
    </row>
    <row r="9">
      <c r="A9" s="12" t="n">
        <v>0.15</v>
      </c>
      <c r="B9" s="6">
        <f>KPI!$B$3*(1+KPI!$B$28)*(1-A9)</f>
        <v/>
      </c>
      <c r="C9" s="13">
        <f>B9-KPI!$B$3</f>
        <v/>
      </c>
      <c r="D9" s="14">
        <f>C9/KPI!$B$3</f>
        <v/>
      </c>
      <c r="E9" s="15">
        <f>IF(C9&gt;0,"正增量","无增量/负增量")</f>
        <v/>
      </c>
    </row>
    <row r="10"/>
    <row r="11" ht="30" customHeight="1">
      <c r="A11" s="16" t="inlineStr">
        <is>
          <t>解读：当前季度 Logo Churn 已从 1.9% 升至 2.8%，NRR 降至 104%；提价触发的额外流失只需超过 7.4% 即抹平全部理论增量。销售方案未提供流失弹性分析，因此不建议全体提价。</t>
        </is>
      </c>
    </row>
    <row r="12"/>
    <row r="13"/>
    <row r="14"/>
    <row r="15">
      <c r="A15" s="17" t="inlineStr">
        <is>
          <t>决定 1：增加 2 名上线经理（$m）</t>
        </is>
      </c>
    </row>
    <row r="16">
      <c r="A16" s="2" t="inlineStr">
        <is>
          <t>项目</t>
        </is>
      </c>
      <c r="B16" s="2" t="inlineStr">
        <is>
          <t>数值</t>
        </is>
      </c>
      <c r="C16" s="2" t="inlineStr">
        <is>
          <t>说明</t>
        </is>
      </c>
    </row>
    <row r="17">
      <c r="A17" t="inlineStr">
        <is>
          <t>年成本</t>
        </is>
      </c>
      <c r="B17" s="18">
        <f>KPI!B24</f>
        <v/>
      </c>
      <c r="C17" t="inlineStr">
        <is>
          <t>事实</t>
        </is>
      </c>
    </row>
    <row r="18">
      <c r="A18" t="inlineStr">
        <is>
          <t>月成本</t>
        </is>
      </c>
      <c r="B18" s="10">
        <f>KPI!B24/12</f>
        <v/>
      </c>
      <c r="C18" t="inlineStr">
        <is>
          <t>测算</t>
        </is>
      </c>
    </row>
    <row r="19">
      <c r="A19" t="inlineStr">
        <is>
          <t>当前月烧钱</t>
        </is>
      </c>
      <c r="B19" s="18">
        <f>KPI!B9</f>
        <v/>
      </c>
      <c r="C19" t="inlineStr">
        <is>
          <t>事实</t>
        </is>
      </c>
    </row>
    <row r="20">
      <c r="A20" t="inlineStr">
        <is>
          <t>方案后月烧钱</t>
        </is>
      </c>
      <c r="B20" s="10">
        <f>B18+B19</f>
        <v/>
      </c>
      <c r="C20" t="inlineStr">
        <is>
          <t>测算</t>
        </is>
      </c>
    </row>
    <row r="21">
      <c r="A21" t="inlineStr">
        <is>
          <t>当前跑道（月）</t>
        </is>
      </c>
      <c r="B21" s="6">
        <f>KPI!B8/KPI!B9</f>
        <v/>
      </c>
      <c r="C21" t="inlineStr">
        <is>
          <t>测算</t>
        </is>
      </c>
    </row>
    <row r="22">
      <c r="A22" t="inlineStr">
        <is>
          <t>方案后跑道（月）</t>
        </is>
      </c>
      <c r="B22" s="6">
        <f>KPI!B8/B20</f>
        <v/>
      </c>
      <c r="C22" t="inlineStr">
        <is>
          <t>测算</t>
        </is>
      </c>
    </row>
    <row r="23">
      <c r="A23" t="inlineStr">
        <is>
          <t>跑道减少（月）</t>
        </is>
      </c>
      <c r="B23" s="18">
        <f>B21-B22</f>
        <v/>
      </c>
      <c r="C23" t="inlineStr">
        <is>
          <t>测算</t>
        </is>
      </c>
    </row>
    <row r="24">
      <c r="A24" t="inlineStr">
        <is>
          <t>上线期 10→7 周</t>
        </is>
      </c>
      <c r="B24" s="8">
        <f>1-KPI!B26/KPI!B25</f>
        <v/>
      </c>
      <c r="C24" t="inlineStr">
        <is>
          <t>管理层估计，未经试点</t>
        </is>
      </c>
    </row>
    <row r="25">
      <c r="A25" t="inlineStr">
        <is>
          <t>流失访谈提到上线慢</t>
        </is>
      </c>
      <c r="B25" s="8">
        <f>KPI!B17/KPI!B16</f>
        <v/>
      </c>
      <c r="C25" t="inlineStr">
        <is>
          <t>事实：6/10</t>
        </is>
      </c>
    </row>
    <row r="26">
      <c r="A26" t="inlineStr">
        <is>
          <t>Q2 Logo Churn</t>
        </is>
      </c>
      <c r="B26" s="4">
        <f>KPI!B6</f>
        <v/>
      </c>
      <c r="C26" t="inlineStr">
        <is>
          <t>事实</t>
        </is>
      </c>
    </row>
    <row r="27">
      <c r="A27" t="inlineStr">
        <is>
          <t>盈亏平衡：需挽回的 ARR ($m/年)</t>
        </is>
      </c>
      <c r="B27" s="18">
        <f>KPI!B24</f>
        <v/>
      </c>
      <c r="C27" t="inlineStr">
        <is>
          <t>测算：挽回 ARR ≥ 年成本即打平（按 ARR 口径，未计毛利）</t>
        </is>
      </c>
    </row>
    <row r="28">
      <c r="A28" t="inlineStr">
        <is>
          <t>对应占 Q2 ARR 比例</t>
        </is>
      </c>
      <c r="B28" s="4">
        <f>B27/KPI!B3</f>
        <v/>
      </c>
      <c r="C28" t="inlineStr">
        <is>
          <t>测算</t>
        </is>
      </c>
    </row>
    <row r="29"/>
    <row r="30"/>
    <row r="31">
      <c r="A31" s="17" t="inlineStr">
        <is>
          <t>决定 2：高级 SLA 产品化（$m）</t>
        </is>
      </c>
    </row>
    <row r="32">
      <c r="A32" s="2" t="inlineStr">
        <is>
          <t>项目</t>
        </is>
      </c>
      <c r="B32" s="2" t="inlineStr">
        <is>
          <t>数值</t>
        </is>
      </c>
      <c r="C32" s="2" t="inlineStr">
        <is>
          <t>说明</t>
        </is>
      </c>
    </row>
    <row r="33">
      <c r="A33" t="inlineStr">
        <is>
          <t>一次性工程投入</t>
        </is>
      </c>
      <c r="B33" s="18">
        <f>KPI!B27</f>
        <v/>
      </c>
      <c r="C33" t="inlineStr">
        <is>
          <t>事实</t>
        </is>
      </c>
    </row>
    <row r="34">
      <c r="A34" t="inlineStr">
        <is>
          <t>要求 99.95% 的客户数</t>
        </is>
      </c>
      <c r="B34" s="15">
        <f>KPI!B13</f>
        <v/>
      </c>
      <c r="C34" t="inlineStr">
        <is>
          <t>事实</t>
        </is>
      </c>
    </row>
    <row r="35">
      <c r="A35" t="inlineStr">
        <is>
          <t>愿付费客户数</t>
        </is>
      </c>
      <c r="B35" s="15">
        <f>KPI!B14</f>
        <v/>
      </c>
      <c r="C35" t="inlineStr">
        <is>
          <t>事实</t>
        </is>
      </c>
    </row>
    <row r="36">
      <c r="A36" t="inlineStr">
        <is>
          <t>最早上线</t>
        </is>
      </c>
      <c r="B36" t="inlineStr">
        <is>
          <t>Q4</t>
        </is>
      </c>
      <c r="C36" t="inlineStr">
        <is>
          <t>事实</t>
        </is>
      </c>
    </row>
    <row r="37">
      <c r="A37" t="inlineStr">
        <is>
          <t>定价</t>
        </is>
      </c>
      <c r="B37" t="inlineStr">
        <is>
          <t>未定</t>
        </is>
      </c>
      <c r="C37" t="inlineStr">
        <is>
          <t>未知：不得承诺收入</t>
        </is>
      </c>
    </row>
    <row r="38">
      <c r="A38" t="inlineStr">
        <is>
          <t>方案 1+2 后跑道（月）</t>
        </is>
      </c>
      <c r="B38" s="6">
        <f>(KPI!B8-KPI!B27)/(KPI!B9+KPI!B24/12)</f>
        <v/>
      </c>
      <c r="C38" t="inlineStr">
        <is>
          <t>测算</t>
        </is>
      </c>
    </row>
    <row r="39">
      <c r="A39" t="inlineStr">
        <is>
          <t>承诺边界</t>
        </is>
      </c>
      <c r="B39" t="inlineStr">
        <is>
          <t>在 Q4 上线并定价前，不在合同中承诺 99.95%</t>
        </is>
      </c>
      <c r="C39" t="inlineStr">
        <is>
          <t>判断/建议</t>
        </is>
      </c>
    </row>
  </sheetData>
  <mergeCells count="1">
    <mergeCell ref="A11:E12"/>
  </mergeCells>
  <conditionalFormatting sqref="C3:C9">
    <cfRule type="cellIs" priority="1" operator="lessThanOrEqual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2026-09-02T02:01:22Z</dcterms:created>
  <dcterms:modified xmlns:dcterms="http://purl.org/dc/terms/" xmlns:xsi="http://www.w3.org/2001/XMLSchema-instance" xsi:type="dcterms:W3CDTF">2026-09-02T02:01:22Z</dcterms:modified>
</cp:coreProperties>
</file>