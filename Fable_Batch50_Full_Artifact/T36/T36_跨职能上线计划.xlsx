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name val="Microsoft YaHei"/>
      <i val="1"/>
      <color rgb="00595959"/>
    </font>
    <font>
      <b val="1"/>
      <color rgb="00FFFFFF"/>
      <sz val="8"/>
    </font>
    <font>
      <color rgb="00595959"/>
      <sz val="7"/>
    </font>
    <font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4" fontId="0" fillId="4" borderId="1" pivotButton="0" quotePrefix="0" xfId="0"/>
    <xf numFmtId="0" fontId="0" fillId="4" borderId="1" pivotButton="0" quotePrefix="0" xfId="0"/>
    <xf numFmtId="164" fontId="0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/>
    </xf>
    <xf numFmtId="0" fontId="5" fillId="0" borderId="0" pivotButton="0" quotePrefix="0" xfId="0"/>
    <xf numFmtId="0" fontId="2" fillId="3" borderId="0" pivotButton="0" quotePrefix="0" xfId="0"/>
    <xf numFmtId="165" fontId="4" fillId="3" borderId="0" applyAlignment="1" pivotButton="0" quotePrefix="0" xfId="0">
      <alignment horizontal="center" textRotation="90"/>
    </xf>
    <xf numFmtId="0" fontId="6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  <dxf>
      <font>
        <color rgb="002E75B6"/>
      </font>
      <fill>
        <patternFill patternType="solid">
          <fgColor rgb="002E75B6"/>
        </patternFill>
      </fill>
    </dxf>
    <dxf>
      <font>
        <color rgb="00C00000"/>
      </font>
      <fill>
        <patternFill patternType="solid">
          <fgColor rgb="00C00000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4" customWidth="1" min="11" max="11"/>
  </cols>
  <sheetData>
    <row r="1">
      <c r="A1" s="1" t="inlineStr">
        <is>
          <t>项目计划（工作日排程；起始 2026-09-01；后置任务从所有前置完成后的下一个工作日开始；WORKDAY/NETWORKDAYS 公式）</t>
        </is>
      </c>
    </row>
    <row r="2">
      <c r="A2" t="inlineStr">
        <is>
          <t>项目开始日</t>
        </is>
      </c>
      <c r="B2" s="2" t="n">
        <v>46266</v>
      </c>
      <c r="D2" t="inlineStr">
        <is>
          <t>目标上线日</t>
        </is>
      </c>
      <c r="E2" s="2" t="n">
        <v>46296</v>
      </c>
    </row>
    <row r="3">
      <c r="A3" s="3" t="inlineStr">
        <is>
          <t>ID</t>
        </is>
      </c>
      <c r="B3" s="3" t="inlineStr">
        <is>
          <t>Task</t>
        </is>
      </c>
      <c r="C3" s="3" t="inlineStr">
        <is>
          <t>Duration (days)</t>
        </is>
      </c>
      <c r="D3" s="3" t="inlineStr">
        <is>
          <t>Depends on</t>
        </is>
      </c>
      <c r="E3" s="3" t="inlineStr">
        <is>
          <t>Owner</t>
        </is>
      </c>
      <c r="F3" s="3" t="inlineStr">
        <is>
          <t>Early Start</t>
        </is>
      </c>
      <c r="G3" s="3" t="inlineStr">
        <is>
          <t>Early Finish</t>
        </is>
      </c>
      <c r="H3" s="3" t="inlineStr">
        <is>
          <t>Late Start</t>
        </is>
      </c>
      <c r="I3" s="3" t="inlineStr">
        <is>
          <t>Late Finish</t>
        </is>
      </c>
      <c r="J3" s="3" t="inlineStr">
        <is>
          <t>Total Float (days)</t>
        </is>
      </c>
      <c r="K3" s="3" t="inlineStr">
        <is>
          <t>Critical?</t>
        </is>
      </c>
    </row>
    <row r="4">
      <c r="A4" s="4" t="inlineStr">
        <is>
          <t>A</t>
        </is>
      </c>
      <c r="B4" s="4" t="inlineStr">
        <is>
          <t>Requirements</t>
        </is>
      </c>
      <c r="C4" s="4" t="n">
        <v>3</v>
      </c>
      <c r="D4" s="4" t="inlineStr">
        <is>
          <t>none</t>
        </is>
      </c>
      <c r="E4" s="4" t="inlineStr">
        <is>
          <t>Product</t>
        </is>
      </c>
      <c r="F4" s="5">
        <f>$B$2</f>
        <v/>
      </c>
      <c r="G4" s="5">
        <f>WORKDAY(F4,C4-1)</f>
        <v/>
      </c>
      <c r="H4" s="5">
        <f>WORKDAY(I4,-(C4-1))</f>
        <v/>
      </c>
      <c r="I4" s="5">
        <f>WORKDAY(MIN(H5,H6),-1)</f>
        <v/>
      </c>
      <c r="J4" s="6">
        <f>NETWORKDAYS(F4,H4)-1</f>
        <v/>
      </c>
      <c r="K4" s="6">
        <f>IF(J4=0,"YES","")</f>
        <v/>
      </c>
    </row>
    <row r="5">
      <c r="A5" s="4" t="inlineStr">
        <is>
          <t>B</t>
        </is>
      </c>
      <c r="B5" s="4" t="inlineStr">
        <is>
          <t>Solution design</t>
        </is>
      </c>
      <c r="C5" s="4" t="n">
        <v>4</v>
      </c>
      <c r="D5" s="4" t="inlineStr">
        <is>
          <t>A</t>
        </is>
      </c>
      <c r="E5" s="4" t="inlineStr">
        <is>
          <t>Engineering</t>
        </is>
      </c>
      <c r="F5" s="5">
        <f>WORKDAY(G4,1)</f>
        <v/>
      </c>
      <c r="G5" s="5">
        <f>WORKDAY(F5,C5-1)</f>
        <v/>
      </c>
      <c r="H5" s="5">
        <f>WORKDAY(I5,-(C5-1))</f>
        <v/>
      </c>
      <c r="I5" s="5">
        <f>WORKDAY(MIN(H7,H8),-1)</f>
        <v/>
      </c>
      <c r="J5" s="6">
        <f>NETWORKDAYS(F5,H5)-1</f>
        <v/>
      </c>
      <c r="K5" s="6">
        <f>IF(J5=0,"YES","")</f>
        <v/>
      </c>
    </row>
    <row r="6">
      <c r="A6" s="4" t="inlineStr">
        <is>
          <t>C</t>
        </is>
      </c>
      <c r="B6" s="4" t="inlineStr">
        <is>
          <t>Legal review</t>
        </is>
      </c>
      <c r="C6" s="4" t="n">
        <v>5</v>
      </c>
      <c r="D6" s="4" t="inlineStr">
        <is>
          <t>A</t>
        </is>
      </c>
      <c r="E6" s="4" t="inlineStr">
        <is>
          <t>Legal</t>
        </is>
      </c>
      <c r="F6" s="5">
        <f>WORKDAY(G4,1)</f>
        <v/>
      </c>
      <c r="G6" s="5">
        <f>WORKDAY(F6,C6-1)</f>
        <v/>
      </c>
      <c r="H6" s="5">
        <f>WORKDAY(I6,-(C6-1))</f>
        <v/>
      </c>
      <c r="I6" s="5">
        <f>WORKDAY(H10,-1)</f>
        <v/>
      </c>
      <c r="J6" s="6">
        <f>NETWORKDAYS(F6,H6)-1</f>
        <v/>
      </c>
      <c r="K6" s="6">
        <f>IF(J6=0,"YES","")</f>
        <v/>
      </c>
    </row>
    <row r="7">
      <c r="A7" s="4" t="inlineStr">
        <is>
          <t>D</t>
        </is>
      </c>
      <c r="B7" s="4" t="inlineStr">
        <is>
          <t>Build</t>
        </is>
      </c>
      <c r="C7" s="4" t="n">
        <v>8</v>
      </c>
      <c r="D7" s="4" t="inlineStr">
        <is>
          <t>B</t>
        </is>
      </c>
      <c r="E7" s="4" t="inlineStr">
        <is>
          <t>Engineering</t>
        </is>
      </c>
      <c r="F7" s="5">
        <f>WORKDAY(G5,1)</f>
        <v/>
      </c>
      <c r="G7" s="5">
        <f>WORKDAY(F7,C7-1)</f>
        <v/>
      </c>
      <c r="H7" s="5">
        <f>WORKDAY(I7,-(C7-1))</f>
        <v/>
      </c>
      <c r="I7" s="5">
        <f>WORKDAY(H9,-1)</f>
        <v/>
      </c>
      <c r="J7" s="6">
        <f>NETWORKDAYS(F7,H7)-1</f>
        <v/>
      </c>
      <c r="K7" s="6">
        <f>IF(J7=0,"YES","")</f>
        <v/>
      </c>
    </row>
    <row r="8">
      <c r="A8" s="4" t="inlineStr">
        <is>
          <t>E</t>
        </is>
      </c>
      <c r="B8" s="4" t="inlineStr">
        <is>
          <t>Content</t>
        </is>
      </c>
      <c r="C8" s="4" t="n">
        <v>6</v>
      </c>
      <c r="D8" s="4" t="inlineStr">
        <is>
          <t>B</t>
        </is>
      </c>
      <c r="E8" s="4" t="inlineStr">
        <is>
          <t>Marketing</t>
        </is>
      </c>
      <c r="F8" s="5">
        <f>WORKDAY(G5,1)</f>
        <v/>
      </c>
      <c r="G8" s="5">
        <f>WORKDAY(F8,C8-1)</f>
        <v/>
      </c>
      <c r="H8" s="5">
        <f>WORKDAY(I8,-(C8-1))</f>
        <v/>
      </c>
      <c r="I8" s="5">
        <f>WORKDAY(H9,-1)</f>
        <v/>
      </c>
      <c r="J8" s="6">
        <f>NETWORKDAYS(F8,H8)-1</f>
        <v/>
      </c>
      <c r="K8" s="6">
        <f>IF(J8=0,"YES","")</f>
        <v/>
      </c>
    </row>
    <row r="9">
      <c r="A9" s="4" t="inlineStr">
        <is>
          <t>F</t>
        </is>
      </c>
      <c r="B9" s="4" t="inlineStr">
        <is>
          <t>UAT</t>
        </is>
      </c>
      <c r="C9" s="4" t="n">
        <v>4</v>
      </c>
      <c r="D9" s="4" t="inlineStr">
        <is>
          <t>D,E</t>
        </is>
      </c>
      <c r="E9" s="4" t="inlineStr">
        <is>
          <t>Product</t>
        </is>
      </c>
      <c r="F9" s="5">
        <f>WORKDAY(MAX(G7,G8),1)</f>
        <v/>
      </c>
      <c r="G9" s="5">
        <f>WORKDAY(F9,C9-1)</f>
        <v/>
      </c>
      <c r="H9" s="5">
        <f>WORKDAY(I9,-(C9-1))</f>
        <v/>
      </c>
      <c r="I9" s="5">
        <f>WORKDAY(H10,-1)</f>
        <v/>
      </c>
      <c r="J9" s="6">
        <f>NETWORKDAYS(F9,H9)-1</f>
        <v/>
      </c>
      <c r="K9" s="6">
        <f>IF(J9=0,"YES","")</f>
        <v/>
      </c>
    </row>
    <row r="10">
      <c r="A10" s="4" t="inlineStr">
        <is>
          <t>G</t>
        </is>
      </c>
      <c r="B10" s="4" t="inlineStr">
        <is>
          <t>Training</t>
        </is>
      </c>
      <c r="C10" s="4" t="n">
        <v>3</v>
      </c>
      <c r="D10" s="4" t="inlineStr">
        <is>
          <t>C,F</t>
        </is>
      </c>
      <c r="E10" s="4" t="inlineStr">
        <is>
          <t>Enablement</t>
        </is>
      </c>
      <c r="F10" s="5">
        <f>WORKDAY(MAX(G6,G9),1)</f>
        <v/>
      </c>
      <c r="G10" s="5">
        <f>WORKDAY(F10,C10-1)</f>
        <v/>
      </c>
      <c r="H10" s="5">
        <f>WORKDAY(I10,-(C10-1))</f>
        <v/>
      </c>
      <c r="I10" s="5">
        <f>WORKDAY(H11,-1)</f>
        <v/>
      </c>
      <c r="J10" s="6">
        <f>NETWORKDAYS(F10,H10)-1</f>
        <v/>
      </c>
      <c r="K10" s="6">
        <f>IF(J10=0,"YES","")</f>
        <v/>
      </c>
    </row>
    <row r="11">
      <c r="A11" s="4" t="inlineStr">
        <is>
          <t>H</t>
        </is>
      </c>
      <c r="B11" s="4" t="inlineStr">
        <is>
          <t>Launch</t>
        </is>
      </c>
      <c r="C11" s="4" t="n">
        <v>1</v>
      </c>
      <c r="D11" s="4" t="inlineStr">
        <is>
          <t>G</t>
        </is>
      </c>
      <c r="E11" s="4" t="inlineStr">
        <is>
          <t>Program Lead</t>
        </is>
      </c>
      <c r="F11" s="5">
        <f>WORKDAY(G10,1)</f>
        <v/>
      </c>
      <c r="G11" s="5">
        <f>WORKDAY(F11,C11-1)</f>
        <v/>
      </c>
      <c r="H11" s="5">
        <f>WORKDAY(I11,-(C11-1))</f>
        <v/>
      </c>
      <c r="I11" s="5">
        <f>G11</f>
        <v/>
      </c>
      <c r="J11" s="6">
        <f>NETWORKDAYS(F11,H11)-1</f>
        <v/>
      </c>
      <c r="K11" s="6">
        <f>IF(J11=0,"YES","")</f>
        <v/>
      </c>
    </row>
    <row r="12"/>
    <row r="13">
      <c r="A13" t="inlineStr">
        <is>
          <t>计划上线日（H 的 Early Finish）</t>
        </is>
      </c>
      <c r="B13" s="7">
        <f>G11</f>
        <v/>
      </c>
    </row>
    <row r="14">
      <c r="A14" t="inlineStr">
        <is>
          <t>是否满足 2026-10-01 目标</t>
        </is>
      </c>
      <c r="B14" s="8">
        <f>IF(B13&lt;=E2,"YES","NO")</f>
        <v/>
      </c>
    </row>
    <row r="15">
      <c r="A15" t="inlineStr">
        <is>
          <t>关键路径</t>
        </is>
      </c>
      <c r="B15" s="8">
        <f>SUBSTITUTE(TRIM(IF(K4="YES",A4&amp;" ","")&amp;IF(K5="YES",A5&amp;" ","")&amp;IF(K6="YES",A6&amp;" ","")&amp;IF(K7="YES",A7&amp;" ","")&amp;IF(K8="YES",A8&amp;" ","")&amp;IF(K9="YES",A9&amp;" ","")&amp;IF(K10="YES",A10&amp;" ","")&amp;IF(K11="YES",A11&amp;" ",""))," ","→")</f>
        <v/>
      </c>
    </row>
    <row r="16">
      <c r="A16" t="inlineStr">
        <is>
          <t>关键路径总工期（工作日）</t>
        </is>
      </c>
      <c r="B16" s="8">
        <f>NETWORKDAYS(B2,B13)</f>
        <v/>
      </c>
    </row>
    <row r="17">
      <c r="A17" t="inlineStr">
        <is>
          <t>Legal 延迟 3 天是否影响上线（C 浮动 ≥3？）</t>
        </is>
      </c>
      <c r="B17" s="8">
        <f>IF(J6&gt;=3,"不影响（浮动 "&amp;J6&amp;" 天）","影响")</f>
        <v/>
      </c>
    </row>
    <row r="18"/>
    <row r="19">
      <c r="A19" s="9" t="inlineStr">
        <is>
          <t>Early Start = 前置任务 Early Finish 的下一个工作日；Early Finish = WORKDAY(ES, Duration−1)；Late Finish 由后继任务 Late Start 倒推；Total Float = NETWORKDAYS(ES, LS) − 1；Float=0 为关键路径。</t>
        </is>
      </c>
    </row>
  </sheetData>
  <conditionalFormatting sqref="K4:K11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6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</cols>
  <sheetData>
    <row r="1">
      <c r="A1" s="1" t="inlineStr">
        <is>
          <t>简易甘特图（■ = 工作日内执行；灰 = 周末；公式驱动，随 Schedule 变化）</t>
        </is>
      </c>
    </row>
    <row r="2">
      <c r="C2" s="10">
        <f>TEXT(C3,"ddd")</f>
        <v/>
      </c>
      <c r="D2" s="10">
        <f>TEXT(D3,"ddd")</f>
        <v/>
      </c>
      <c r="E2" s="10">
        <f>TEXT(E3,"ddd")</f>
        <v/>
      </c>
      <c r="F2" s="10">
        <f>TEXT(F3,"ddd")</f>
        <v/>
      </c>
      <c r="G2" s="10">
        <f>TEXT(G3,"ddd")</f>
        <v/>
      </c>
      <c r="H2" s="10">
        <f>TEXT(H3,"ddd")</f>
        <v/>
      </c>
      <c r="I2" s="10">
        <f>TEXT(I3,"ddd")</f>
        <v/>
      </c>
      <c r="J2" s="10">
        <f>TEXT(J3,"ddd")</f>
        <v/>
      </c>
      <c r="K2" s="10">
        <f>TEXT(K3,"ddd")</f>
        <v/>
      </c>
      <c r="L2" s="10">
        <f>TEXT(L3,"ddd")</f>
        <v/>
      </c>
      <c r="M2" s="10">
        <f>TEXT(M3,"ddd")</f>
        <v/>
      </c>
      <c r="N2" s="10">
        <f>TEXT(N3,"ddd")</f>
        <v/>
      </c>
      <c r="O2" s="10">
        <f>TEXT(O3,"ddd")</f>
        <v/>
      </c>
      <c r="P2" s="10">
        <f>TEXT(P3,"ddd")</f>
        <v/>
      </c>
      <c r="Q2" s="10">
        <f>TEXT(Q3,"ddd")</f>
        <v/>
      </c>
      <c r="R2" s="10">
        <f>TEXT(R3,"ddd")</f>
        <v/>
      </c>
      <c r="S2" s="10">
        <f>TEXT(S3,"ddd")</f>
        <v/>
      </c>
      <c r="T2" s="10">
        <f>TEXT(T3,"ddd")</f>
        <v/>
      </c>
      <c r="U2" s="10">
        <f>TEXT(U3,"ddd")</f>
        <v/>
      </c>
      <c r="V2" s="10">
        <f>TEXT(V3,"ddd")</f>
        <v/>
      </c>
      <c r="W2" s="10">
        <f>TEXT(W3,"ddd")</f>
        <v/>
      </c>
      <c r="X2" s="10">
        <f>TEXT(X3,"ddd")</f>
        <v/>
      </c>
      <c r="Y2" s="10">
        <f>TEXT(Y3,"ddd")</f>
        <v/>
      </c>
      <c r="Z2" s="10">
        <f>TEXT(Z3,"ddd")</f>
        <v/>
      </c>
      <c r="AA2" s="10">
        <f>TEXT(AA3,"ddd")</f>
        <v/>
      </c>
      <c r="AB2" s="10">
        <f>TEXT(AB3,"ddd")</f>
        <v/>
      </c>
      <c r="AC2" s="10">
        <f>TEXT(AC3,"ddd")</f>
        <v/>
      </c>
      <c r="AD2" s="10">
        <f>TEXT(AD3,"ddd")</f>
        <v/>
      </c>
      <c r="AE2" s="10">
        <f>TEXT(AE3,"ddd")</f>
        <v/>
      </c>
      <c r="AF2" s="10">
        <f>TEXT(AF3,"ddd")</f>
        <v/>
      </c>
      <c r="AG2" s="10">
        <f>TEXT(AG3,"ddd")</f>
        <v/>
      </c>
      <c r="AH2" s="10">
        <f>TEXT(AH3,"ddd")</f>
        <v/>
      </c>
      <c r="AI2" s="10">
        <f>TEXT(AI3,"ddd")</f>
        <v/>
      </c>
      <c r="AJ2" s="10">
        <f>TEXT(AJ3,"ddd")</f>
        <v/>
      </c>
    </row>
    <row r="3">
      <c r="A3" s="11" t="inlineStr">
        <is>
          <t>ID</t>
        </is>
      </c>
      <c r="B3" s="11" t="inlineStr">
        <is>
          <t>Task</t>
        </is>
      </c>
      <c r="C3" s="12" t="n">
        <v>46265</v>
      </c>
      <c r="D3" s="12" t="n">
        <v>46266</v>
      </c>
      <c r="E3" s="12" t="n">
        <v>46267</v>
      </c>
      <c r="F3" s="12" t="n">
        <v>46268</v>
      </c>
      <c r="G3" s="12" t="n">
        <v>46269</v>
      </c>
      <c r="H3" s="12" t="n">
        <v>46270</v>
      </c>
      <c r="I3" s="12" t="n">
        <v>46271</v>
      </c>
      <c r="J3" s="12" t="n">
        <v>46272</v>
      </c>
      <c r="K3" s="12" t="n">
        <v>46273</v>
      </c>
      <c r="L3" s="12" t="n">
        <v>46274</v>
      </c>
      <c r="M3" s="12" t="n">
        <v>46275</v>
      </c>
      <c r="N3" s="12" t="n">
        <v>46276</v>
      </c>
      <c r="O3" s="12" t="n">
        <v>46277</v>
      </c>
      <c r="P3" s="12" t="n">
        <v>46278</v>
      </c>
      <c r="Q3" s="12" t="n">
        <v>46279</v>
      </c>
      <c r="R3" s="12" t="n">
        <v>46280</v>
      </c>
      <c r="S3" s="12" t="n">
        <v>46281</v>
      </c>
      <c r="T3" s="12" t="n">
        <v>46282</v>
      </c>
      <c r="U3" s="12" t="n">
        <v>46283</v>
      </c>
      <c r="V3" s="12" t="n">
        <v>46284</v>
      </c>
      <c r="W3" s="12" t="n">
        <v>46285</v>
      </c>
      <c r="X3" s="12" t="n">
        <v>46286</v>
      </c>
      <c r="Y3" s="12" t="n">
        <v>46287</v>
      </c>
      <c r="Z3" s="12" t="n">
        <v>46288</v>
      </c>
      <c r="AA3" s="12" t="n">
        <v>46289</v>
      </c>
      <c r="AB3" s="12" t="n">
        <v>46290</v>
      </c>
      <c r="AC3" s="12" t="n">
        <v>46291</v>
      </c>
      <c r="AD3" s="12" t="n">
        <v>46292</v>
      </c>
      <c r="AE3" s="12" t="n">
        <v>46293</v>
      </c>
      <c r="AF3" s="12" t="n">
        <v>46294</v>
      </c>
      <c r="AG3" s="12" t="n">
        <v>46295</v>
      </c>
      <c r="AH3" s="12" t="n">
        <v>46296</v>
      </c>
      <c r="AI3" s="12" t="n">
        <v>46297</v>
      </c>
      <c r="AJ3" s="12" t="n">
        <v>46298</v>
      </c>
    </row>
    <row r="4">
      <c r="A4">
        <f>Schedule!A4</f>
        <v/>
      </c>
      <c r="B4">
        <f>Schedule!B4</f>
        <v/>
      </c>
      <c r="C4" s="13">
        <f>IF(AND(C$3&gt;=Schedule!$F4,C$3&lt;=Schedule!$G4,WEEKDAY(C$3,2)&lt;=5),"■","")</f>
        <v/>
      </c>
      <c r="D4" s="13">
        <f>IF(AND(D$3&gt;=Schedule!$F4,D$3&lt;=Schedule!$G4,WEEKDAY(D$3,2)&lt;=5),"■","")</f>
        <v/>
      </c>
      <c r="E4" s="13">
        <f>IF(AND(E$3&gt;=Schedule!$F4,E$3&lt;=Schedule!$G4,WEEKDAY(E$3,2)&lt;=5),"■","")</f>
        <v/>
      </c>
      <c r="F4" s="13">
        <f>IF(AND(F$3&gt;=Schedule!$F4,F$3&lt;=Schedule!$G4,WEEKDAY(F$3,2)&lt;=5),"■","")</f>
        <v/>
      </c>
      <c r="G4" s="13">
        <f>IF(AND(G$3&gt;=Schedule!$F4,G$3&lt;=Schedule!$G4,WEEKDAY(G$3,2)&lt;=5),"■","")</f>
        <v/>
      </c>
      <c r="H4" s="13">
        <f>IF(AND(H$3&gt;=Schedule!$F4,H$3&lt;=Schedule!$G4,WEEKDAY(H$3,2)&lt;=5),"■","")</f>
        <v/>
      </c>
      <c r="I4" s="13">
        <f>IF(AND(I$3&gt;=Schedule!$F4,I$3&lt;=Schedule!$G4,WEEKDAY(I$3,2)&lt;=5),"■","")</f>
        <v/>
      </c>
      <c r="J4" s="13">
        <f>IF(AND(J$3&gt;=Schedule!$F4,J$3&lt;=Schedule!$G4,WEEKDAY(J$3,2)&lt;=5),"■","")</f>
        <v/>
      </c>
      <c r="K4" s="13">
        <f>IF(AND(K$3&gt;=Schedule!$F4,K$3&lt;=Schedule!$G4,WEEKDAY(K$3,2)&lt;=5),"■","")</f>
        <v/>
      </c>
      <c r="L4" s="13">
        <f>IF(AND(L$3&gt;=Schedule!$F4,L$3&lt;=Schedule!$G4,WEEKDAY(L$3,2)&lt;=5),"■","")</f>
        <v/>
      </c>
      <c r="M4" s="13">
        <f>IF(AND(M$3&gt;=Schedule!$F4,M$3&lt;=Schedule!$G4,WEEKDAY(M$3,2)&lt;=5),"■","")</f>
        <v/>
      </c>
      <c r="N4" s="13">
        <f>IF(AND(N$3&gt;=Schedule!$F4,N$3&lt;=Schedule!$G4,WEEKDAY(N$3,2)&lt;=5),"■","")</f>
        <v/>
      </c>
      <c r="O4" s="13">
        <f>IF(AND(O$3&gt;=Schedule!$F4,O$3&lt;=Schedule!$G4,WEEKDAY(O$3,2)&lt;=5),"■","")</f>
        <v/>
      </c>
      <c r="P4" s="13">
        <f>IF(AND(P$3&gt;=Schedule!$F4,P$3&lt;=Schedule!$G4,WEEKDAY(P$3,2)&lt;=5),"■","")</f>
        <v/>
      </c>
      <c r="Q4" s="13">
        <f>IF(AND(Q$3&gt;=Schedule!$F4,Q$3&lt;=Schedule!$G4,WEEKDAY(Q$3,2)&lt;=5),"■","")</f>
        <v/>
      </c>
      <c r="R4" s="13">
        <f>IF(AND(R$3&gt;=Schedule!$F4,R$3&lt;=Schedule!$G4,WEEKDAY(R$3,2)&lt;=5),"■","")</f>
        <v/>
      </c>
      <c r="S4" s="13">
        <f>IF(AND(S$3&gt;=Schedule!$F4,S$3&lt;=Schedule!$G4,WEEKDAY(S$3,2)&lt;=5),"■","")</f>
        <v/>
      </c>
      <c r="T4" s="13">
        <f>IF(AND(T$3&gt;=Schedule!$F4,T$3&lt;=Schedule!$G4,WEEKDAY(T$3,2)&lt;=5),"■","")</f>
        <v/>
      </c>
      <c r="U4" s="13">
        <f>IF(AND(U$3&gt;=Schedule!$F4,U$3&lt;=Schedule!$G4,WEEKDAY(U$3,2)&lt;=5),"■","")</f>
        <v/>
      </c>
      <c r="V4" s="13">
        <f>IF(AND(V$3&gt;=Schedule!$F4,V$3&lt;=Schedule!$G4,WEEKDAY(V$3,2)&lt;=5),"■","")</f>
        <v/>
      </c>
      <c r="W4" s="13">
        <f>IF(AND(W$3&gt;=Schedule!$F4,W$3&lt;=Schedule!$G4,WEEKDAY(W$3,2)&lt;=5),"■","")</f>
        <v/>
      </c>
      <c r="X4" s="13">
        <f>IF(AND(X$3&gt;=Schedule!$F4,X$3&lt;=Schedule!$G4,WEEKDAY(X$3,2)&lt;=5),"■","")</f>
        <v/>
      </c>
      <c r="Y4" s="13">
        <f>IF(AND(Y$3&gt;=Schedule!$F4,Y$3&lt;=Schedule!$G4,WEEKDAY(Y$3,2)&lt;=5),"■","")</f>
        <v/>
      </c>
      <c r="Z4" s="13">
        <f>IF(AND(Z$3&gt;=Schedule!$F4,Z$3&lt;=Schedule!$G4,WEEKDAY(Z$3,2)&lt;=5),"■","")</f>
        <v/>
      </c>
      <c r="AA4" s="13">
        <f>IF(AND(AA$3&gt;=Schedule!$F4,AA$3&lt;=Schedule!$G4,WEEKDAY(AA$3,2)&lt;=5),"■","")</f>
        <v/>
      </c>
      <c r="AB4" s="13">
        <f>IF(AND(AB$3&gt;=Schedule!$F4,AB$3&lt;=Schedule!$G4,WEEKDAY(AB$3,2)&lt;=5),"■","")</f>
        <v/>
      </c>
      <c r="AC4" s="13">
        <f>IF(AND(AC$3&gt;=Schedule!$F4,AC$3&lt;=Schedule!$G4,WEEKDAY(AC$3,2)&lt;=5),"■","")</f>
        <v/>
      </c>
      <c r="AD4" s="13">
        <f>IF(AND(AD$3&gt;=Schedule!$F4,AD$3&lt;=Schedule!$G4,WEEKDAY(AD$3,2)&lt;=5),"■","")</f>
        <v/>
      </c>
      <c r="AE4" s="13">
        <f>IF(AND(AE$3&gt;=Schedule!$F4,AE$3&lt;=Schedule!$G4,WEEKDAY(AE$3,2)&lt;=5),"■","")</f>
        <v/>
      </c>
      <c r="AF4" s="13">
        <f>IF(AND(AF$3&gt;=Schedule!$F4,AF$3&lt;=Schedule!$G4,WEEKDAY(AF$3,2)&lt;=5),"■","")</f>
        <v/>
      </c>
      <c r="AG4" s="13">
        <f>IF(AND(AG$3&gt;=Schedule!$F4,AG$3&lt;=Schedule!$G4,WEEKDAY(AG$3,2)&lt;=5),"■","")</f>
        <v/>
      </c>
      <c r="AH4" s="13">
        <f>IF(AND(AH$3&gt;=Schedule!$F4,AH$3&lt;=Schedule!$G4,WEEKDAY(AH$3,2)&lt;=5),"■","")</f>
        <v/>
      </c>
      <c r="AI4" s="13">
        <f>IF(AND(AI$3&gt;=Schedule!$F4,AI$3&lt;=Schedule!$G4,WEEKDAY(AI$3,2)&lt;=5),"■","")</f>
        <v/>
      </c>
      <c r="AJ4" s="13">
        <f>IF(AND(AJ$3&gt;=Schedule!$F4,AJ$3&lt;=Schedule!$G4,WEEKDAY(AJ$3,2)&lt;=5),"■","")</f>
        <v/>
      </c>
    </row>
    <row r="5">
      <c r="A5">
        <f>Schedule!A5</f>
        <v/>
      </c>
      <c r="B5">
        <f>Schedule!B5</f>
        <v/>
      </c>
      <c r="C5" s="13">
        <f>IF(AND(C$3&gt;=Schedule!$F5,C$3&lt;=Schedule!$G5,WEEKDAY(C$3,2)&lt;=5),"■","")</f>
        <v/>
      </c>
      <c r="D5" s="13">
        <f>IF(AND(D$3&gt;=Schedule!$F5,D$3&lt;=Schedule!$G5,WEEKDAY(D$3,2)&lt;=5),"■","")</f>
        <v/>
      </c>
      <c r="E5" s="13">
        <f>IF(AND(E$3&gt;=Schedule!$F5,E$3&lt;=Schedule!$G5,WEEKDAY(E$3,2)&lt;=5),"■","")</f>
        <v/>
      </c>
      <c r="F5" s="13">
        <f>IF(AND(F$3&gt;=Schedule!$F5,F$3&lt;=Schedule!$G5,WEEKDAY(F$3,2)&lt;=5),"■","")</f>
        <v/>
      </c>
      <c r="G5" s="13">
        <f>IF(AND(G$3&gt;=Schedule!$F5,G$3&lt;=Schedule!$G5,WEEKDAY(G$3,2)&lt;=5),"■","")</f>
        <v/>
      </c>
      <c r="H5" s="13">
        <f>IF(AND(H$3&gt;=Schedule!$F5,H$3&lt;=Schedule!$G5,WEEKDAY(H$3,2)&lt;=5),"■","")</f>
        <v/>
      </c>
      <c r="I5" s="13">
        <f>IF(AND(I$3&gt;=Schedule!$F5,I$3&lt;=Schedule!$G5,WEEKDAY(I$3,2)&lt;=5),"■","")</f>
        <v/>
      </c>
      <c r="J5" s="13">
        <f>IF(AND(J$3&gt;=Schedule!$F5,J$3&lt;=Schedule!$G5,WEEKDAY(J$3,2)&lt;=5),"■","")</f>
        <v/>
      </c>
      <c r="K5" s="13">
        <f>IF(AND(K$3&gt;=Schedule!$F5,K$3&lt;=Schedule!$G5,WEEKDAY(K$3,2)&lt;=5),"■","")</f>
        <v/>
      </c>
      <c r="L5" s="13">
        <f>IF(AND(L$3&gt;=Schedule!$F5,L$3&lt;=Schedule!$G5,WEEKDAY(L$3,2)&lt;=5),"■","")</f>
        <v/>
      </c>
      <c r="M5" s="13">
        <f>IF(AND(M$3&gt;=Schedule!$F5,M$3&lt;=Schedule!$G5,WEEKDAY(M$3,2)&lt;=5),"■","")</f>
        <v/>
      </c>
      <c r="N5" s="13">
        <f>IF(AND(N$3&gt;=Schedule!$F5,N$3&lt;=Schedule!$G5,WEEKDAY(N$3,2)&lt;=5),"■","")</f>
        <v/>
      </c>
      <c r="O5" s="13">
        <f>IF(AND(O$3&gt;=Schedule!$F5,O$3&lt;=Schedule!$G5,WEEKDAY(O$3,2)&lt;=5),"■","")</f>
        <v/>
      </c>
      <c r="P5" s="13">
        <f>IF(AND(P$3&gt;=Schedule!$F5,P$3&lt;=Schedule!$G5,WEEKDAY(P$3,2)&lt;=5),"■","")</f>
        <v/>
      </c>
      <c r="Q5" s="13">
        <f>IF(AND(Q$3&gt;=Schedule!$F5,Q$3&lt;=Schedule!$G5,WEEKDAY(Q$3,2)&lt;=5),"■","")</f>
        <v/>
      </c>
      <c r="R5" s="13">
        <f>IF(AND(R$3&gt;=Schedule!$F5,R$3&lt;=Schedule!$G5,WEEKDAY(R$3,2)&lt;=5),"■","")</f>
        <v/>
      </c>
      <c r="S5" s="13">
        <f>IF(AND(S$3&gt;=Schedule!$F5,S$3&lt;=Schedule!$G5,WEEKDAY(S$3,2)&lt;=5),"■","")</f>
        <v/>
      </c>
      <c r="T5" s="13">
        <f>IF(AND(T$3&gt;=Schedule!$F5,T$3&lt;=Schedule!$G5,WEEKDAY(T$3,2)&lt;=5),"■","")</f>
        <v/>
      </c>
      <c r="U5" s="13">
        <f>IF(AND(U$3&gt;=Schedule!$F5,U$3&lt;=Schedule!$G5,WEEKDAY(U$3,2)&lt;=5),"■","")</f>
        <v/>
      </c>
      <c r="V5" s="13">
        <f>IF(AND(V$3&gt;=Schedule!$F5,V$3&lt;=Schedule!$G5,WEEKDAY(V$3,2)&lt;=5),"■","")</f>
        <v/>
      </c>
      <c r="W5" s="13">
        <f>IF(AND(W$3&gt;=Schedule!$F5,W$3&lt;=Schedule!$G5,WEEKDAY(W$3,2)&lt;=5),"■","")</f>
        <v/>
      </c>
      <c r="X5" s="13">
        <f>IF(AND(X$3&gt;=Schedule!$F5,X$3&lt;=Schedule!$G5,WEEKDAY(X$3,2)&lt;=5),"■","")</f>
        <v/>
      </c>
      <c r="Y5" s="13">
        <f>IF(AND(Y$3&gt;=Schedule!$F5,Y$3&lt;=Schedule!$G5,WEEKDAY(Y$3,2)&lt;=5),"■","")</f>
        <v/>
      </c>
      <c r="Z5" s="13">
        <f>IF(AND(Z$3&gt;=Schedule!$F5,Z$3&lt;=Schedule!$G5,WEEKDAY(Z$3,2)&lt;=5),"■","")</f>
        <v/>
      </c>
      <c r="AA5" s="13">
        <f>IF(AND(AA$3&gt;=Schedule!$F5,AA$3&lt;=Schedule!$G5,WEEKDAY(AA$3,2)&lt;=5),"■","")</f>
        <v/>
      </c>
      <c r="AB5" s="13">
        <f>IF(AND(AB$3&gt;=Schedule!$F5,AB$3&lt;=Schedule!$G5,WEEKDAY(AB$3,2)&lt;=5),"■","")</f>
        <v/>
      </c>
      <c r="AC5" s="13">
        <f>IF(AND(AC$3&gt;=Schedule!$F5,AC$3&lt;=Schedule!$G5,WEEKDAY(AC$3,2)&lt;=5),"■","")</f>
        <v/>
      </c>
      <c r="AD5" s="13">
        <f>IF(AND(AD$3&gt;=Schedule!$F5,AD$3&lt;=Schedule!$G5,WEEKDAY(AD$3,2)&lt;=5),"■","")</f>
        <v/>
      </c>
      <c r="AE5" s="13">
        <f>IF(AND(AE$3&gt;=Schedule!$F5,AE$3&lt;=Schedule!$G5,WEEKDAY(AE$3,2)&lt;=5),"■","")</f>
        <v/>
      </c>
      <c r="AF5" s="13">
        <f>IF(AND(AF$3&gt;=Schedule!$F5,AF$3&lt;=Schedule!$G5,WEEKDAY(AF$3,2)&lt;=5),"■","")</f>
        <v/>
      </c>
      <c r="AG5" s="13">
        <f>IF(AND(AG$3&gt;=Schedule!$F5,AG$3&lt;=Schedule!$G5,WEEKDAY(AG$3,2)&lt;=5),"■","")</f>
        <v/>
      </c>
      <c r="AH5" s="13">
        <f>IF(AND(AH$3&gt;=Schedule!$F5,AH$3&lt;=Schedule!$G5,WEEKDAY(AH$3,2)&lt;=5),"■","")</f>
        <v/>
      </c>
      <c r="AI5" s="13">
        <f>IF(AND(AI$3&gt;=Schedule!$F5,AI$3&lt;=Schedule!$G5,WEEKDAY(AI$3,2)&lt;=5),"■","")</f>
        <v/>
      </c>
      <c r="AJ5" s="13">
        <f>IF(AND(AJ$3&gt;=Schedule!$F5,AJ$3&lt;=Schedule!$G5,WEEKDAY(AJ$3,2)&lt;=5),"■","")</f>
        <v/>
      </c>
    </row>
    <row r="6">
      <c r="A6">
        <f>Schedule!A6</f>
        <v/>
      </c>
      <c r="B6">
        <f>Schedule!B6</f>
        <v/>
      </c>
      <c r="C6" s="13">
        <f>IF(AND(C$3&gt;=Schedule!$F6,C$3&lt;=Schedule!$G6,WEEKDAY(C$3,2)&lt;=5),"■","")</f>
        <v/>
      </c>
      <c r="D6" s="13">
        <f>IF(AND(D$3&gt;=Schedule!$F6,D$3&lt;=Schedule!$G6,WEEKDAY(D$3,2)&lt;=5),"■","")</f>
        <v/>
      </c>
      <c r="E6" s="13">
        <f>IF(AND(E$3&gt;=Schedule!$F6,E$3&lt;=Schedule!$G6,WEEKDAY(E$3,2)&lt;=5),"■","")</f>
        <v/>
      </c>
      <c r="F6" s="13">
        <f>IF(AND(F$3&gt;=Schedule!$F6,F$3&lt;=Schedule!$G6,WEEKDAY(F$3,2)&lt;=5),"■","")</f>
        <v/>
      </c>
      <c r="G6" s="13">
        <f>IF(AND(G$3&gt;=Schedule!$F6,G$3&lt;=Schedule!$G6,WEEKDAY(G$3,2)&lt;=5),"■","")</f>
        <v/>
      </c>
      <c r="H6" s="13">
        <f>IF(AND(H$3&gt;=Schedule!$F6,H$3&lt;=Schedule!$G6,WEEKDAY(H$3,2)&lt;=5),"■","")</f>
        <v/>
      </c>
      <c r="I6" s="13">
        <f>IF(AND(I$3&gt;=Schedule!$F6,I$3&lt;=Schedule!$G6,WEEKDAY(I$3,2)&lt;=5),"■","")</f>
        <v/>
      </c>
      <c r="J6" s="13">
        <f>IF(AND(J$3&gt;=Schedule!$F6,J$3&lt;=Schedule!$G6,WEEKDAY(J$3,2)&lt;=5),"■","")</f>
        <v/>
      </c>
      <c r="K6" s="13">
        <f>IF(AND(K$3&gt;=Schedule!$F6,K$3&lt;=Schedule!$G6,WEEKDAY(K$3,2)&lt;=5),"■","")</f>
        <v/>
      </c>
      <c r="L6" s="13">
        <f>IF(AND(L$3&gt;=Schedule!$F6,L$3&lt;=Schedule!$G6,WEEKDAY(L$3,2)&lt;=5),"■","")</f>
        <v/>
      </c>
      <c r="M6" s="13">
        <f>IF(AND(M$3&gt;=Schedule!$F6,M$3&lt;=Schedule!$G6,WEEKDAY(M$3,2)&lt;=5),"■","")</f>
        <v/>
      </c>
      <c r="N6" s="13">
        <f>IF(AND(N$3&gt;=Schedule!$F6,N$3&lt;=Schedule!$G6,WEEKDAY(N$3,2)&lt;=5),"■","")</f>
        <v/>
      </c>
      <c r="O6" s="13">
        <f>IF(AND(O$3&gt;=Schedule!$F6,O$3&lt;=Schedule!$G6,WEEKDAY(O$3,2)&lt;=5),"■","")</f>
        <v/>
      </c>
      <c r="P6" s="13">
        <f>IF(AND(P$3&gt;=Schedule!$F6,P$3&lt;=Schedule!$G6,WEEKDAY(P$3,2)&lt;=5),"■","")</f>
        <v/>
      </c>
      <c r="Q6" s="13">
        <f>IF(AND(Q$3&gt;=Schedule!$F6,Q$3&lt;=Schedule!$G6,WEEKDAY(Q$3,2)&lt;=5),"■","")</f>
        <v/>
      </c>
      <c r="R6" s="13">
        <f>IF(AND(R$3&gt;=Schedule!$F6,R$3&lt;=Schedule!$G6,WEEKDAY(R$3,2)&lt;=5),"■","")</f>
        <v/>
      </c>
      <c r="S6" s="13">
        <f>IF(AND(S$3&gt;=Schedule!$F6,S$3&lt;=Schedule!$G6,WEEKDAY(S$3,2)&lt;=5),"■","")</f>
        <v/>
      </c>
      <c r="T6" s="13">
        <f>IF(AND(T$3&gt;=Schedule!$F6,T$3&lt;=Schedule!$G6,WEEKDAY(T$3,2)&lt;=5),"■","")</f>
        <v/>
      </c>
      <c r="U6" s="13">
        <f>IF(AND(U$3&gt;=Schedule!$F6,U$3&lt;=Schedule!$G6,WEEKDAY(U$3,2)&lt;=5),"■","")</f>
        <v/>
      </c>
      <c r="V6" s="13">
        <f>IF(AND(V$3&gt;=Schedule!$F6,V$3&lt;=Schedule!$G6,WEEKDAY(V$3,2)&lt;=5),"■","")</f>
        <v/>
      </c>
      <c r="W6" s="13">
        <f>IF(AND(W$3&gt;=Schedule!$F6,W$3&lt;=Schedule!$G6,WEEKDAY(W$3,2)&lt;=5),"■","")</f>
        <v/>
      </c>
      <c r="X6" s="13">
        <f>IF(AND(X$3&gt;=Schedule!$F6,X$3&lt;=Schedule!$G6,WEEKDAY(X$3,2)&lt;=5),"■","")</f>
        <v/>
      </c>
      <c r="Y6" s="13">
        <f>IF(AND(Y$3&gt;=Schedule!$F6,Y$3&lt;=Schedule!$G6,WEEKDAY(Y$3,2)&lt;=5),"■","")</f>
        <v/>
      </c>
      <c r="Z6" s="13">
        <f>IF(AND(Z$3&gt;=Schedule!$F6,Z$3&lt;=Schedule!$G6,WEEKDAY(Z$3,2)&lt;=5),"■","")</f>
        <v/>
      </c>
      <c r="AA6" s="13">
        <f>IF(AND(AA$3&gt;=Schedule!$F6,AA$3&lt;=Schedule!$G6,WEEKDAY(AA$3,2)&lt;=5),"■","")</f>
        <v/>
      </c>
      <c r="AB6" s="13">
        <f>IF(AND(AB$3&gt;=Schedule!$F6,AB$3&lt;=Schedule!$G6,WEEKDAY(AB$3,2)&lt;=5),"■","")</f>
        <v/>
      </c>
      <c r="AC6" s="13">
        <f>IF(AND(AC$3&gt;=Schedule!$F6,AC$3&lt;=Schedule!$G6,WEEKDAY(AC$3,2)&lt;=5),"■","")</f>
        <v/>
      </c>
      <c r="AD6" s="13">
        <f>IF(AND(AD$3&gt;=Schedule!$F6,AD$3&lt;=Schedule!$G6,WEEKDAY(AD$3,2)&lt;=5),"■","")</f>
        <v/>
      </c>
      <c r="AE6" s="13">
        <f>IF(AND(AE$3&gt;=Schedule!$F6,AE$3&lt;=Schedule!$G6,WEEKDAY(AE$3,2)&lt;=5),"■","")</f>
        <v/>
      </c>
      <c r="AF6" s="13">
        <f>IF(AND(AF$3&gt;=Schedule!$F6,AF$3&lt;=Schedule!$G6,WEEKDAY(AF$3,2)&lt;=5),"■","")</f>
        <v/>
      </c>
      <c r="AG6" s="13">
        <f>IF(AND(AG$3&gt;=Schedule!$F6,AG$3&lt;=Schedule!$G6,WEEKDAY(AG$3,2)&lt;=5),"■","")</f>
        <v/>
      </c>
      <c r="AH6" s="13">
        <f>IF(AND(AH$3&gt;=Schedule!$F6,AH$3&lt;=Schedule!$G6,WEEKDAY(AH$3,2)&lt;=5),"■","")</f>
        <v/>
      </c>
      <c r="AI6" s="13">
        <f>IF(AND(AI$3&gt;=Schedule!$F6,AI$3&lt;=Schedule!$G6,WEEKDAY(AI$3,2)&lt;=5),"■","")</f>
        <v/>
      </c>
      <c r="AJ6" s="13">
        <f>IF(AND(AJ$3&gt;=Schedule!$F6,AJ$3&lt;=Schedule!$G6,WEEKDAY(AJ$3,2)&lt;=5),"■","")</f>
        <v/>
      </c>
    </row>
    <row r="7">
      <c r="A7">
        <f>Schedule!A7</f>
        <v/>
      </c>
      <c r="B7">
        <f>Schedule!B7</f>
        <v/>
      </c>
      <c r="C7" s="13">
        <f>IF(AND(C$3&gt;=Schedule!$F7,C$3&lt;=Schedule!$G7,WEEKDAY(C$3,2)&lt;=5),"■","")</f>
        <v/>
      </c>
      <c r="D7" s="13">
        <f>IF(AND(D$3&gt;=Schedule!$F7,D$3&lt;=Schedule!$G7,WEEKDAY(D$3,2)&lt;=5),"■","")</f>
        <v/>
      </c>
      <c r="E7" s="13">
        <f>IF(AND(E$3&gt;=Schedule!$F7,E$3&lt;=Schedule!$G7,WEEKDAY(E$3,2)&lt;=5),"■","")</f>
        <v/>
      </c>
      <c r="F7" s="13">
        <f>IF(AND(F$3&gt;=Schedule!$F7,F$3&lt;=Schedule!$G7,WEEKDAY(F$3,2)&lt;=5),"■","")</f>
        <v/>
      </c>
      <c r="G7" s="13">
        <f>IF(AND(G$3&gt;=Schedule!$F7,G$3&lt;=Schedule!$G7,WEEKDAY(G$3,2)&lt;=5),"■","")</f>
        <v/>
      </c>
      <c r="H7" s="13">
        <f>IF(AND(H$3&gt;=Schedule!$F7,H$3&lt;=Schedule!$G7,WEEKDAY(H$3,2)&lt;=5),"■","")</f>
        <v/>
      </c>
      <c r="I7" s="13">
        <f>IF(AND(I$3&gt;=Schedule!$F7,I$3&lt;=Schedule!$G7,WEEKDAY(I$3,2)&lt;=5),"■","")</f>
        <v/>
      </c>
      <c r="J7" s="13">
        <f>IF(AND(J$3&gt;=Schedule!$F7,J$3&lt;=Schedule!$G7,WEEKDAY(J$3,2)&lt;=5),"■","")</f>
        <v/>
      </c>
      <c r="K7" s="13">
        <f>IF(AND(K$3&gt;=Schedule!$F7,K$3&lt;=Schedule!$G7,WEEKDAY(K$3,2)&lt;=5),"■","")</f>
        <v/>
      </c>
      <c r="L7" s="13">
        <f>IF(AND(L$3&gt;=Schedule!$F7,L$3&lt;=Schedule!$G7,WEEKDAY(L$3,2)&lt;=5),"■","")</f>
        <v/>
      </c>
      <c r="M7" s="13">
        <f>IF(AND(M$3&gt;=Schedule!$F7,M$3&lt;=Schedule!$G7,WEEKDAY(M$3,2)&lt;=5),"■","")</f>
        <v/>
      </c>
      <c r="N7" s="13">
        <f>IF(AND(N$3&gt;=Schedule!$F7,N$3&lt;=Schedule!$G7,WEEKDAY(N$3,2)&lt;=5),"■","")</f>
        <v/>
      </c>
      <c r="O7" s="13">
        <f>IF(AND(O$3&gt;=Schedule!$F7,O$3&lt;=Schedule!$G7,WEEKDAY(O$3,2)&lt;=5),"■","")</f>
        <v/>
      </c>
      <c r="P7" s="13">
        <f>IF(AND(P$3&gt;=Schedule!$F7,P$3&lt;=Schedule!$G7,WEEKDAY(P$3,2)&lt;=5),"■","")</f>
        <v/>
      </c>
      <c r="Q7" s="13">
        <f>IF(AND(Q$3&gt;=Schedule!$F7,Q$3&lt;=Schedule!$G7,WEEKDAY(Q$3,2)&lt;=5),"■","")</f>
        <v/>
      </c>
      <c r="R7" s="13">
        <f>IF(AND(R$3&gt;=Schedule!$F7,R$3&lt;=Schedule!$G7,WEEKDAY(R$3,2)&lt;=5),"■","")</f>
        <v/>
      </c>
      <c r="S7" s="13">
        <f>IF(AND(S$3&gt;=Schedule!$F7,S$3&lt;=Schedule!$G7,WEEKDAY(S$3,2)&lt;=5),"■","")</f>
        <v/>
      </c>
      <c r="T7" s="13">
        <f>IF(AND(T$3&gt;=Schedule!$F7,T$3&lt;=Schedule!$G7,WEEKDAY(T$3,2)&lt;=5),"■","")</f>
        <v/>
      </c>
      <c r="U7" s="13">
        <f>IF(AND(U$3&gt;=Schedule!$F7,U$3&lt;=Schedule!$G7,WEEKDAY(U$3,2)&lt;=5),"■","")</f>
        <v/>
      </c>
      <c r="V7" s="13">
        <f>IF(AND(V$3&gt;=Schedule!$F7,V$3&lt;=Schedule!$G7,WEEKDAY(V$3,2)&lt;=5),"■","")</f>
        <v/>
      </c>
      <c r="W7" s="13">
        <f>IF(AND(W$3&gt;=Schedule!$F7,W$3&lt;=Schedule!$G7,WEEKDAY(W$3,2)&lt;=5),"■","")</f>
        <v/>
      </c>
      <c r="X7" s="13">
        <f>IF(AND(X$3&gt;=Schedule!$F7,X$3&lt;=Schedule!$G7,WEEKDAY(X$3,2)&lt;=5),"■","")</f>
        <v/>
      </c>
      <c r="Y7" s="13">
        <f>IF(AND(Y$3&gt;=Schedule!$F7,Y$3&lt;=Schedule!$G7,WEEKDAY(Y$3,2)&lt;=5),"■","")</f>
        <v/>
      </c>
      <c r="Z7" s="13">
        <f>IF(AND(Z$3&gt;=Schedule!$F7,Z$3&lt;=Schedule!$G7,WEEKDAY(Z$3,2)&lt;=5),"■","")</f>
        <v/>
      </c>
      <c r="AA7" s="13">
        <f>IF(AND(AA$3&gt;=Schedule!$F7,AA$3&lt;=Schedule!$G7,WEEKDAY(AA$3,2)&lt;=5),"■","")</f>
        <v/>
      </c>
      <c r="AB7" s="13">
        <f>IF(AND(AB$3&gt;=Schedule!$F7,AB$3&lt;=Schedule!$G7,WEEKDAY(AB$3,2)&lt;=5),"■","")</f>
        <v/>
      </c>
      <c r="AC7" s="13">
        <f>IF(AND(AC$3&gt;=Schedule!$F7,AC$3&lt;=Schedule!$G7,WEEKDAY(AC$3,2)&lt;=5),"■","")</f>
        <v/>
      </c>
      <c r="AD7" s="13">
        <f>IF(AND(AD$3&gt;=Schedule!$F7,AD$3&lt;=Schedule!$G7,WEEKDAY(AD$3,2)&lt;=5),"■","")</f>
        <v/>
      </c>
      <c r="AE7" s="13">
        <f>IF(AND(AE$3&gt;=Schedule!$F7,AE$3&lt;=Schedule!$G7,WEEKDAY(AE$3,2)&lt;=5),"■","")</f>
        <v/>
      </c>
      <c r="AF7" s="13">
        <f>IF(AND(AF$3&gt;=Schedule!$F7,AF$3&lt;=Schedule!$G7,WEEKDAY(AF$3,2)&lt;=5),"■","")</f>
        <v/>
      </c>
      <c r="AG7" s="13">
        <f>IF(AND(AG$3&gt;=Schedule!$F7,AG$3&lt;=Schedule!$G7,WEEKDAY(AG$3,2)&lt;=5),"■","")</f>
        <v/>
      </c>
      <c r="AH7" s="13">
        <f>IF(AND(AH$3&gt;=Schedule!$F7,AH$3&lt;=Schedule!$G7,WEEKDAY(AH$3,2)&lt;=5),"■","")</f>
        <v/>
      </c>
      <c r="AI7" s="13">
        <f>IF(AND(AI$3&gt;=Schedule!$F7,AI$3&lt;=Schedule!$G7,WEEKDAY(AI$3,2)&lt;=5),"■","")</f>
        <v/>
      </c>
      <c r="AJ7" s="13">
        <f>IF(AND(AJ$3&gt;=Schedule!$F7,AJ$3&lt;=Schedule!$G7,WEEKDAY(AJ$3,2)&lt;=5),"■","")</f>
        <v/>
      </c>
    </row>
    <row r="8">
      <c r="A8">
        <f>Schedule!A8</f>
        <v/>
      </c>
      <c r="B8">
        <f>Schedule!B8</f>
        <v/>
      </c>
      <c r="C8" s="13">
        <f>IF(AND(C$3&gt;=Schedule!$F8,C$3&lt;=Schedule!$G8,WEEKDAY(C$3,2)&lt;=5),"■","")</f>
        <v/>
      </c>
      <c r="D8" s="13">
        <f>IF(AND(D$3&gt;=Schedule!$F8,D$3&lt;=Schedule!$G8,WEEKDAY(D$3,2)&lt;=5),"■","")</f>
        <v/>
      </c>
      <c r="E8" s="13">
        <f>IF(AND(E$3&gt;=Schedule!$F8,E$3&lt;=Schedule!$G8,WEEKDAY(E$3,2)&lt;=5),"■","")</f>
        <v/>
      </c>
      <c r="F8" s="13">
        <f>IF(AND(F$3&gt;=Schedule!$F8,F$3&lt;=Schedule!$G8,WEEKDAY(F$3,2)&lt;=5),"■","")</f>
        <v/>
      </c>
      <c r="G8" s="13">
        <f>IF(AND(G$3&gt;=Schedule!$F8,G$3&lt;=Schedule!$G8,WEEKDAY(G$3,2)&lt;=5),"■","")</f>
        <v/>
      </c>
      <c r="H8" s="13">
        <f>IF(AND(H$3&gt;=Schedule!$F8,H$3&lt;=Schedule!$G8,WEEKDAY(H$3,2)&lt;=5),"■","")</f>
        <v/>
      </c>
      <c r="I8" s="13">
        <f>IF(AND(I$3&gt;=Schedule!$F8,I$3&lt;=Schedule!$G8,WEEKDAY(I$3,2)&lt;=5),"■","")</f>
        <v/>
      </c>
      <c r="J8" s="13">
        <f>IF(AND(J$3&gt;=Schedule!$F8,J$3&lt;=Schedule!$G8,WEEKDAY(J$3,2)&lt;=5),"■","")</f>
        <v/>
      </c>
      <c r="K8" s="13">
        <f>IF(AND(K$3&gt;=Schedule!$F8,K$3&lt;=Schedule!$G8,WEEKDAY(K$3,2)&lt;=5),"■","")</f>
        <v/>
      </c>
      <c r="L8" s="13">
        <f>IF(AND(L$3&gt;=Schedule!$F8,L$3&lt;=Schedule!$G8,WEEKDAY(L$3,2)&lt;=5),"■","")</f>
        <v/>
      </c>
      <c r="M8" s="13">
        <f>IF(AND(M$3&gt;=Schedule!$F8,M$3&lt;=Schedule!$G8,WEEKDAY(M$3,2)&lt;=5),"■","")</f>
        <v/>
      </c>
      <c r="N8" s="13">
        <f>IF(AND(N$3&gt;=Schedule!$F8,N$3&lt;=Schedule!$G8,WEEKDAY(N$3,2)&lt;=5),"■","")</f>
        <v/>
      </c>
      <c r="O8" s="13">
        <f>IF(AND(O$3&gt;=Schedule!$F8,O$3&lt;=Schedule!$G8,WEEKDAY(O$3,2)&lt;=5),"■","")</f>
        <v/>
      </c>
      <c r="P8" s="13">
        <f>IF(AND(P$3&gt;=Schedule!$F8,P$3&lt;=Schedule!$G8,WEEKDAY(P$3,2)&lt;=5),"■","")</f>
        <v/>
      </c>
      <c r="Q8" s="13">
        <f>IF(AND(Q$3&gt;=Schedule!$F8,Q$3&lt;=Schedule!$G8,WEEKDAY(Q$3,2)&lt;=5),"■","")</f>
        <v/>
      </c>
      <c r="R8" s="13">
        <f>IF(AND(R$3&gt;=Schedule!$F8,R$3&lt;=Schedule!$G8,WEEKDAY(R$3,2)&lt;=5),"■","")</f>
        <v/>
      </c>
      <c r="S8" s="13">
        <f>IF(AND(S$3&gt;=Schedule!$F8,S$3&lt;=Schedule!$G8,WEEKDAY(S$3,2)&lt;=5),"■","")</f>
        <v/>
      </c>
      <c r="T8" s="13">
        <f>IF(AND(T$3&gt;=Schedule!$F8,T$3&lt;=Schedule!$G8,WEEKDAY(T$3,2)&lt;=5),"■","")</f>
        <v/>
      </c>
      <c r="U8" s="13">
        <f>IF(AND(U$3&gt;=Schedule!$F8,U$3&lt;=Schedule!$G8,WEEKDAY(U$3,2)&lt;=5),"■","")</f>
        <v/>
      </c>
      <c r="V8" s="13">
        <f>IF(AND(V$3&gt;=Schedule!$F8,V$3&lt;=Schedule!$G8,WEEKDAY(V$3,2)&lt;=5),"■","")</f>
        <v/>
      </c>
      <c r="W8" s="13">
        <f>IF(AND(W$3&gt;=Schedule!$F8,W$3&lt;=Schedule!$G8,WEEKDAY(W$3,2)&lt;=5),"■","")</f>
        <v/>
      </c>
      <c r="X8" s="13">
        <f>IF(AND(X$3&gt;=Schedule!$F8,X$3&lt;=Schedule!$G8,WEEKDAY(X$3,2)&lt;=5),"■","")</f>
        <v/>
      </c>
      <c r="Y8" s="13">
        <f>IF(AND(Y$3&gt;=Schedule!$F8,Y$3&lt;=Schedule!$G8,WEEKDAY(Y$3,2)&lt;=5),"■","")</f>
        <v/>
      </c>
      <c r="Z8" s="13">
        <f>IF(AND(Z$3&gt;=Schedule!$F8,Z$3&lt;=Schedule!$G8,WEEKDAY(Z$3,2)&lt;=5),"■","")</f>
        <v/>
      </c>
      <c r="AA8" s="13">
        <f>IF(AND(AA$3&gt;=Schedule!$F8,AA$3&lt;=Schedule!$G8,WEEKDAY(AA$3,2)&lt;=5),"■","")</f>
        <v/>
      </c>
      <c r="AB8" s="13">
        <f>IF(AND(AB$3&gt;=Schedule!$F8,AB$3&lt;=Schedule!$G8,WEEKDAY(AB$3,2)&lt;=5),"■","")</f>
        <v/>
      </c>
      <c r="AC8" s="13">
        <f>IF(AND(AC$3&gt;=Schedule!$F8,AC$3&lt;=Schedule!$G8,WEEKDAY(AC$3,2)&lt;=5),"■","")</f>
        <v/>
      </c>
      <c r="AD8" s="13">
        <f>IF(AND(AD$3&gt;=Schedule!$F8,AD$3&lt;=Schedule!$G8,WEEKDAY(AD$3,2)&lt;=5),"■","")</f>
        <v/>
      </c>
      <c r="AE8" s="13">
        <f>IF(AND(AE$3&gt;=Schedule!$F8,AE$3&lt;=Schedule!$G8,WEEKDAY(AE$3,2)&lt;=5),"■","")</f>
        <v/>
      </c>
      <c r="AF8" s="13">
        <f>IF(AND(AF$3&gt;=Schedule!$F8,AF$3&lt;=Schedule!$G8,WEEKDAY(AF$3,2)&lt;=5),"■","")</f>
        <v/>
      </c>
      <c r="AG8" s="13">
        <f>IF(AND(AG$3&gt;=Schedule!$F8,AG$3&lt;=Schedule!$G8,WEEKDAY(AG$3,2)&lt;=5),"■","")</f>
        <v/>
      </c>
      <c r="AH8" s="13">
        <f>IF(AND(AH$3&gt;=Schedule!$F8,AH$3&lt;=Schedule!$G8,WEEKDAY(AH$3,2)&lt;=5),"■","")</f>
        <v/>
      </c>
      <c r="AI8" s="13">
        <f>IF(AND(AI$3&gt;=Schedule!$F8,AI$3&lt;=Schedule!$G8,WEEKDAY(AI$3,2)&lt;=5),"■","")</f>
        <v/>
      </c>
      <c r="AJ8" s="13">
        <f>IF(AND(AJ$3&gt;=Schedule!$F8,AJ$3&lt;=Schedule!$G8,WEEKDAY(AJ$3,2)&lt;=5),"■","")</f>
        <v/>
      </c>
    </row>
    <row r="9">
      <c r="A9">
        <f>Schedule!A9</f>
        <v/>
      </c>
      <c r="B9">
        <f>Schedule!B9</f>
        <v/>
      </c>
      <c r="C9" s="13">
        <f>IF(AND(C$3&gt;=Schedule!$F9,C$3&lt;=Schedule!$G9,WEEKDAY(C$3,2)&lt;=5),"■","")</f>
        <v/>
      </c>
      <c r="D9" s="13">
        <f>IF(AND(D$3&gt;=Schedule!$F9,D$3&lt;=Schedule!$G9,WEEKDAY(D$3,2)&lt;=5),"■","")</f>
        <v/>
      </c>
      <c r="E9" s="13">
        <f>IF(AND(E$3&gt;=Schedule!$F9,E$3&lt;=Schedule!$G9,WEEKDAY(E$3,2)&lt;=5),"■","")</f>
        <v/>
      </c>
      <c r="F9" s="13">
        <f>IF(AND(F$3&gt;=Schedule!$F9,F$3&lt;=Schedule!$G9,WEEKDAY(F$3,2)&lt;=5),"■","")</f>
        <v/>
      </c>
      <c r="G9" s="13">
        <f>IF(AND(G$3&gt;=Schedule!$F9,G$3&lt;=Schedule!$G9,WEEKDAY(G$3,2)&lt;=5),"■","")</f>
        <v/>
      </c>
      <c r="H9" s="13">
        <f>IF(AND(H$3&gt;=Schedule!$F9,H$3&lt;=Schedule!$G9,WEEKDAY(H$3,2)&lt;=5),"■","")</f>
        <v/>
      </c>
      <c r="I9" s="13">
        <f>IF(AND(I$3&gt;=Schedule!$F9,I$3&lt;=Schedule!$G9,WEEKDAY(I$3,2)&lt;=5),"■","")</f>
        <v/>
      </c>
      <c r="J9" s="13">
        <f>IF(AND(J$3&gt;=Schedule!$F9,J$3&lt;=Schedule!$G9,WEEKDAY(J$3,2)&lt;=5),"■","")</f>
        <v/>
      </c>
      <c r="K9" s="13">
        <f>IF(AND(K$3&gt;=Schedule!$F9,K$3&lt;=Schedule!$G9,WEEKDAY(K$3,2)&lt;=5),"■","")</f>
        <v/>
      </c>
      <c r="L9" s="13">
        <f>IF(AND(L$3&gt;=Schedule!$F9,L$3&lt;=Schedule!$G9,WEEKDAY(L$3,2)&lt;=5),"■","")</f>
        <v/>
      </c>
      <c r="M9" s="13">
        <f>IF(AND(M$3&gt;=Schedule!$F9,M$3&lt;=Schedule!$G9,WEEKDAY(M$3,2)&lt;=5),"■","")</f>
        <v/>
      </c>
      <c r="N9" s="13">
        <f>IF(AND(N$3&gt;=Schedule!$F9,N$3&lt;=Schedule!$G9,WEEKDAY(N$3,2)&lt;=5),"■","")</f>
        <v/>
      </c>
      <c r="O9" s="13">
        <f>IF(AND(O$3&gt;=Schedule!$F9,O$3&lt;=Schedule!$G9,WEEKDAY(O$3,2)&lt;=5),"■","")</f>
        <v/>
      </c>
      <c r="P9" s="13">
        <f>IF(AND(P$3&gt;=Schedule!$F9,P$3&lt;=Schedule!$G9,WEEKDAY(P$3,2)&lt;=5),"■","")</f>
        <v/>
      </c>
      <c r="Q9" s="13">
        <f>IF(AND(Q$3&gt;=Schedule!$F9,Q$3&lt;=Schedule!$G9,WEEKDAY(Q$3,2)&lt;=5),"■","")</f>
        <v/>
      </c>
      <c r="R9" s="13">
        <f>IF(AND(R$3&gt;=Schedule!$F9,R$3&lt;=Schedule!$G9,WEEKDAY(R$3,2)&lt;=5),"■","")</f>
        <v/>
      </c>
      <c r="S9" s="13">
        <f>IF(AND(S$3&gt;=Schedule!$F9,S$3&lt;=Schedule!$G9,WEEKDAY(S$3,2)&lt;=5),"■","")</f>
        <v/>
      </c>
      <c r="T9" s="13">
        <f>IF(AND(T$3&gt;=Schedule!$F9,T$3&lt;=Schedule!$G9,WEEKDAY(T$3,2)&lt;=5),"■","")</f>
        <v/>
      </c>
      <c r="U9" s="13">
        <f>IF(AND(U$3&gt;=Schedule!$F9,U$3&lt;=Schedule!$G9,WEEKDAY(U$3,2)&lt;=5),"■","")</f>
        <v/>
      </c>
      <c r="V9" s="13">
        <f>IF(AND(V$3&gt;=Schedule!$F9,V$3&lt;=Schedule!$G9,WEEKDAY(V$3,2)&lt;=5),"■","")</f>
        <v/>
      </c>
      <c r="W9" s="13">
        <f>IF(AND(W$3&gt;=Schedule!$F9,W$3&lt;=Schedule!$G9,WEEKDAY(W$3,2)&lt;=5),"■","")</f>
        <v/>
      </c>
      <c r="X9" s="13">
        <f>IF(AND(X$3&gt;=Schedule!$F9,X$3&lt;=Schedule!$G9,WEEKDAY(X$3,2)&lt;=5),"■","")</f>
        <v/>
      </c>
      <c r="Y9" s="13">
        <f>IF(AND(Y$3&gt;=Schedule!$F9,Y$3&lt;=Schedule!$G9,WEEKDAY(Y$3,2)&lt;=5),"■","")</f>
        <v/>
      </c>
      <c r="Z9" s="13">
        <f>IF(AND(Z$3&gt;=Schedule!$F9,Z$3&lt;=Schedule!$G9,WEEKDAY(Z$3,2)&lt;=5),"■","")</f>
        <v/>
      </c>
      <c r="AA9" s="13">
        <f>IF(AND(AA$3&gt;=Schedule!$F9,AA$3&lt;=Schedule!$G9,WEEKDAY(AA$3,2)&lt;=5),"■","")</f>
        <v/>
      </c>
      <c r="AB9" s="13">
        <f>IF(AND(AB$3&gt;=Schedule!$F9,AB$3&lt;=Schedule!$G9,WEEKDAY(AB$3,2)&lt;=5),"■","")</f>
        <v/>
      </c>
      <c r="AC9" s="13">
        <f>IF(AND(AC$3&gt;=Schedule!$F9,AC$3&lt;=Schedule!$G9,WEEKDAY(AC$3,2)&lt;=5),"■","")</f>
        <v/>
      </c>
      <c r="AD9" s="13">
        <f>IF(AND(AD$3&gt;=Schedule!$F9,AD$3&lt;=Schedule!$G9,WEEKDAY(AD$3,2)&lt;=5),"■","")</f>
        <v/>
      </c>
      <c r="AE9" s="13">
        <f>IF(AND(AE$3&gt;=Schedule!$F9,AE$3&lt;=Schedule!$G9,WEEKDAY(AE$3,2)&lt;=5),"■","")</f>
        <v/>
      </c>
      <c r="AF9" s="13">
        <f>IF(AND(AF$3&gt;=Schedule!$F9,AF$3&lt;=Schedule!$G9,WEEKDAY(AF$3,2)&lt;=5),"■","")</f>
        <v/>
      </c>
      <c r="AG9" s="13">
        <f>IF(AND(AG$3&gt;=Schedule!$F9,AG$3&lt;=Schedule!$G9,WEEKDAY(AG$3,2)&lt;=5),"■","")</f>
        <v/>
      </c>
      <c r="AH9" s="13">
        <f>IF(AND(AH$3&gt;=Schedule!$F9,AH$3&lt;=Schedule!$G9,WEEKDAY(AH$3,2)&lt;=5),"■","")</f>
        <v/>
      </c>
      <c r="AI9" s="13">
        <f>IF(AND(AI$3&gt;=Schedule!$F9,AI$3&lt;=Schedule!$G9,WEEKDAY(AI$3,2)&lt;=5),"■","")</f>
        <v/>
      </c>
      <c r="AJ9" s="13">
        <f>IF(AND(AJ$3&gt;=Schedule!$F9,AJ$3&lt;=Schedule!$G9,WEEKDAY(AJ$3,2)&lt;=5),"■","")</f>
        <v/>
      </c>
    </row>
    <row r="10">
      <c r="A10">
        <f>Schedule!A10</f>
        <v/>
      </c>
      <c r="B10">
        <f>Schedule!B10</f>
        <v/>
      </c>
      <c r="C10" s="13">
        <f>IF(AND(C$3&gt;=Schedule!$F10,C$3&lt;=Schedule!$G10,WEEKDAY(C$3,2)&lt;=5),"■","")</f>
        <v/>
      </c>
      <c r="D10" s="13">
        <f>IF(AND(D$3&gt;=Schedule!$F10,D$3&lt;=Schedule!$G10,WEEKDAY(D$3,2)&lt;=5),"■","")</f>
        <v/>
      </c>
      <c r="E10" s="13">
        <f>IF(AND(E$3&gt;=Schedule!$F10,E$3&lt;=Schedule!$G10,WEEKDAY(E$3,2)&lt;=5),"■","")</f>
        <v/>
      </c>
      <c r="F10" s="13">
        <f>IF(AND(F$3&gt;=Schedule!$F10,F$3&lt;=Schedule!$G10,WEEKDAY(F$3,2)&lt;=5),"■","")</f>
        <v/>
      </c>
      <c r="G10" s="13">
        <f>IF(AND(G$3&gt;=Schedule!$F10,G$3&lt;=Schedule!$G10,WEEKDAY(G$3,2)&lt;=5),"■","")</f>
        <v/>
      </c>
      <c r="H10" s="13">
        <f>IF(AND(H$3&gt;=Schedule!$F10,H$3&lt;=Schedule!$G10,WEEKDAY(H$3,2)&lt;=5),"■","")</f>
        <v/>
      </c>
      <c r="I10" s="13">
        <f>IF(AND(I$3&gt;=Schedule!$F10,I$3&lt;=Schedule!$G10,WEEKDAY(I$3,2)&lt;=5),"■","")</f>
        <v/>
      </c>
      <c r="J10" s="13">
        <f>IF(AND(J$3&gt;=Schedule!$F10,J$3&lt;=Schedule!$G10,WEEKDAY(J$3,2)&lt;=5),"■","")</f>
        <v/>
      </c>
      <c r="K10" s="13">
        <f>IF(AND(K$3&gt;=Schedule!$F10,K$3&lt;=Schedule!$G10,WEEKDAY(K$3,2)&lt;=5),"■","")</f>
        <v/>
      </c>
      <c r="L10" s="13">
        <f>IF(AND(L$3&gt;=Schedule!$F10,L$3&lt;=Schedule!$G10,WEEKDAY(L$3,2)&lt;=5),"■","")</f>
        <v/>
      </c>
      <c r="M10" s="13">
        <f>IF(AND(M$3&gt;=Schedule!$F10,M$3&lt;=Schedule!$G10,WEEKDAY(M$3,2)&lt;=5),"■","")</f>
        <v/>
      </c>
      <c r="N10" s="13">
        <f>IF(AND(N$3&gt;=Schedule!$F10,N$3&lt;=Schedule!$G10,WEEKDAY(N$3,2)&lt;=5),"■","")</f>
        <v/>
      </c>
      <c r="O10" s="13">
        <f>IF(AND(O$3&gt;=Schedule!$F10,O$3&lt;=Schedule!$G10,WEEKDAY(O$3,2)&lt;=5),"■","")</f>
        <v/>
      </c>
      <c r="P10" s="13">
        <f>IF(AND(P$3&gt;=Schedule!$F10,P$3&lt;=Schedule!$G10,WEEKDAY(P$3,2)&lt;=5),"■","")</f>
        <v/>
      </c>
      <c r="Q10" s="13">
        <f>IF(AND(Q$3&gt;=Schedule!$F10,Q$3&lt;=Schedule!$G10,WEEKDAY(Q$3,2)&lt;=5),"■","")</f>
        <v/>
      </c>
      <c r="R10" s="13">
        <f>IF(AND(R$3&gt;=Schedule!$F10,R$3&lt;=Schedule!$G10,WEEKDAY(R$3,2)&lt;=5),"■","")</f>
        <v/>
      </c>
      <c r="S10" s="13">
        <f>IF(AND(S$3&gt;=Schedule!$F10,S$3&lt;=Schedule!$G10,WEEKDAY(S$3,2)&lt;=5),"■","")</f>
        <v/>
      </c>
      <c r="T10" s="13">
        <f>IF(AND(T$3&gt;=Schedule!$F10,T$3&lt;=Schedule!$G10,WEEKDAY(T$3,2)&lt;=5),"■","")</f>
        <v/>
      </c>
      <c r="U10" s="13">
        <f>IF(AND(U$3&gt;=Schedule!$F10,U$3&lt;=Schedule!$G10,WEEKDAY(U$3,2)&lt;=5),"■","")</f>
        <v/>
      </c>
      <c r="V10" s="13">
        <f>IF(AND(V$3&gt;=Schedule!$F10,V$3&lt;=Schedule!$G10,WEEKDAY(V$3,2)&lt;=5),"■","")</f>
        <v/>
      </c>
      <c r="W10" s="13">
        <f>IF(AND(W$3&gt;=Schedule!$F10,W$3&lt;=Schedule!$G10,WEEKDAY(W$3,2)&lt;=5),"■","")</f>
        <v/>
      </c>
      <c r="X10" s="13">
        <f>IF(AND(X$3&gt;=Schedule!$F10,X$3&lt;=Schedule!$G10,WEEKDAY(X$3,2)&lt;=5),"■","")</f>
        <v/>
      </c>
      <c r="Y10" s="13">
        <f>IF(AND(Y$3&gt;=Schedule!$F10,Y$3&lt;=Schedule!$G10,WEEKDAY(Y$3,2)&lt;=5),"■","")</f>
        <v/>
      </c>
      <c r="Z10" s="13">
        <f>IF(AND(Z$3&gt;=Schedule!$F10,Z$3&lt;=Schedule!$G10,WEEKDAY(Z$3,2)&lt;=5),"■","")</f>
        <v/>
      </c>
      <c r="AA10" s="13">
        <f>IF(AND(AA$3&gt;=Schedule!$F10,AA$3&lt;=Schedule!$G10,WEEKDAY(AA$3,2)&lt;=5),"■","")</f>
        <v/>
      </c>
      <c r="AB10" s="13">
        <f>IF(AND(AB$3&gt;=Schedule!$F10,AB$3&lt;=Schedule!$G10,WEEKDAY(AB$3,2)&lt;=5),"■","")</f>
        <v/>
      </c>
      <c r="AC10" s="13">
        <f>IF(AND(AC$3&gt;=Schedule!$F10,AC$3&lt;=Schedule!$G10,WEEKDAY(AC$3,2)&lt;=5),"■","")</f>
        <v/>
      </c>
      <c r="AD10" s="13">
        <f>IF(AND(AD$3&gt;=Schedule!$F10,AD$3&lt;=Schedule!$G10,WEEKDAY(AD$3,2)&lt;=5),"■","")</f>
        <v/>
      </c>
      <c r="AE10" s="13">
        <f>IF(AND(AE$3&gt;=Schedule!$F10,AE$3&lt;=Schedule!$G10,WEEKDAY(AE$3,2)&lt;=5),"■","")</f>
        <v/>
      </c>
      <c r="AF10" s="13">
        <f>IF(AND(AF$3&gt;=Schedule!$F10,AF$3&lt;=Schedule!$G10,WEEKDAY(AF$3,2)&lt;=5),"■","")</f>
        <v/>
      </c>
      <c r="AG10" s="13">
        <f>IF(AND(AG$3&gt;=Schedule!$F10,AG$3&lt;=Schedule!$G10,WEEKDAY(AG$3,2)&lt;=5),"■","")</f>
        <v/>
      </c>
      <c r="AH10" s="13">
        <f>IF(AND(AH$3&gt;=Schedule!$F10,AH$3&lt;=Schedule!$G10,WEEKDAY(AH$3,2)&lt;=5),"■","")</f>
        <v/>
      </c>
      <c r="AI10" s="13">
        <f>IF(AND(AI$3&gt;=Schedule!$F10,AI$3&lt;=Schedule!$G10,WEEKDAY(AI$3,2)&lt;=5),"■","")</f>
        <v/>
      </c>
      <c r="AJ10" s="13">
        <f>IF(AND(AJ$3&gt;=Schedule!$F10,AJ$3&lt;=Schedule!$G10,WEEKDAY(AJ$3,2)&lt;=5),"■","")</f>
        <v/>
      </c>
    </row>
    <row r="11">
      <c r="A11">
        <f>Schedule!A11</f>
        <v/>
      </c>
      <c r="B11">
        <f>Schedule!B11</f>
        <v/>
      </c>
      <c r="C11" s="13">
        <f>IF(AND(C$3&gt;=Schedule!$F11,C$3&lt;=Schedule!$G11,WEEKDAY(C$3,2)&lt;=5),"■","")</f>
        <v/>
      </c>
      <c r="D11" s="13">
        <f>IF(AND(D$3&gt;=Schedule!$F11,D$3&lt;=Schedule!$G11,WEEKDAY(D$3,2)&lt;=5),"■","")</f>
        <v/>
      </c>
      <c r="E11" s="13">
        <f>IF(AND(E$3&gt;=Schedule!$F11,E$3&lt;=Schedule!$G11,WEEKDAY(E$3,2)&lt;=5),"■","")</f>
        <v/>
      </c>
      <c r="F11" s="13">
        <f>IF(AND(F$3&gt;=Schedule!$F11,F$3&lt;=Schedule!$G11,WEEKDAY(F$3,2)&lt;=5),"■","")</f>
        <v/>
      </c>
      <c r="G11" s="13">
        <f>IF(AND(G$3&gt;=Schedule!$F11,G$3&lt;=Schedule!$G11,WEEKDAY(G$3,2)&lt;=5),"■","")</f>
        <v/>
      </c>
      <c r="H11" s="13">
        <f>IF(AND(H$3&gt;=Schedule!$F11,H$3&lt;=Schedule!$G11,WEEKDAY(H$3,2)&lt;=5),"■","")</f>
        <v/>
      </c>
      <c r="I11" s="13">
        <f>IF(AND(I$3&gt;=Schedule!$F11,I$3&lt;=Schedule!$G11,WEEKDAY(I$3,2)&lt;=5),"■","")</f>
        <v/>
      </c>
      <c r="J11" s="13">
        <f>IF(AND(J$3&gt;=Schedule!$F11,J$3&lt;=Schedule!$G11,WEEKDAY(J$3,2)&lt;=5),"■","")</f>
        <v/>
      </c>
      <c r="K11" s="13">
        <f>IF(AND(K$3&gt;=Schedule!$F11,K$3&lt;=Schedule!$G11,WEEKDAY(K$3,2)&lt;=5),"■","")</f>
        <v/>
      </c>
      <c r="L11" s="13">
        <f>IF(AND(L$3&gt;=Schedule!$F11,L$3&lt;=Schedule!$G11,WEEKDAY(L$3,2)&lt;=5),"■","")</f>
        <v/>
      </c>
      <c r="M11" s="13">
        <f>IF(AND(M$3&gt;=Schedule!$F11,M$3&lt;=Schedule!$G11,WEEKDAY(M$3,2)&lt;=5),"■","")</f>
        <v/>
      </c>
      <c r="N11" s="13">
        <f>IF(AND(N$3&gt;=Schedule!$F11,N$3&lt;=Schedule!$G11,WEEKDAY(N$3,2)&lt;=5),"■","")</f>
        <v/>
      </c>
      <c r="O11" s="13">
        <f>IF(AND(O$3&gt;=Schedule!$F11,O$3&lt;=Schedule!$G11,WEEKDAY(O$3,2)&lt;=5),"■","")</f>
        <v/>
      </c>
      <c r="P11" s="13">
        <f>IF(AND(P$3&gt;=Schedule!$F11,P$3&lt;=Schedule!$G11,WEEKDAY(P$3,2)&lt;=5),"■","")</f>
        <v/>
      </c>
      <c r="Q11" s="13">
        <f>IF(AND(Q$3&gt;=Schedule!$F11,Q$3&lt;=Schedule!$G11,WEEKDAY(Q$3,2)&lt;=5),"■","")</f>
        <v/>
      </c>
      <c r="R11" s="13">
        <f>IF(AND(R$3&gt;=Schedule!$F11,R$3&lt;=Schedule!$G11,WEEKDAY(R$3,2)&lt;=5),"■","")</f>
        <v/>
      </c>
      <c r="S11" s="13">
        <f>IF(AND(S$3&gt;=Schedule!$F11,S$3&lt;=Schedule!$G11,WEEKDAY(S$3,2)&lt;=5),"■","")</f>
        <v/>
      </c>
      <c r="T11" s="13">
        <f>IF(AND(T$3&gt;=Schedule!$F11,T$3&lt;=Schedule!$G11,WEEKDAY(T$3,2)&lt;=5),"■","")</f>
        <v/>
      </c>
      <c r="U11" s="13">
        <f>IF(AND(U$3&gt;=Schedule!$F11,U$3&lt;=Schedule!$G11,WEEKDAY(U$3,2)&lt;=5),"■","")</f>
        <v/>
      </c>
      <c r="V11" s="13">
        <f>IF(AND(V$3&gt;=Schedule!$F11,V$3&lt;=Schedule!$G11,WEEKDAY(V$3,2)&lt;=5),"■","")</f>
        <v/>
      </c>
      <c r="W11" s="13">
        <f>IF(AND(W$3&gt;=Schedule!$F11,W$3&lt;=Schedule!$G11,WEEKDAY(W$3,2)&lt;=5),"■","")</f>
        <v/>
      </c>
      <c r="X11" s="13">
        <f>IF(AND(X$3&gt;=Schedule!$F11,X$3&lt;=Schedule!$G11,WEEKDAY(X$3,2)&lt;=5),"■","")</f>
        <v/>
      </c>
      <c r="Y11" s="13">
        <f>IF(AND(Y$3&gt;=Schedule!$F11,Y$3&lt;=Schedule!$G11,WEEKDAY(Y$3,2)&lt;=5),"■","")</f>
        <v/>
      </c>
      <c r="Z11" s="13">
        <f>IF(AND(Z$3&gt;=Schedule!$F11,Z$3&lt;=Schedule!$G11,WEEKDAY(Z$3,2)&lt;=5),"■","")</f>
        <v/>
      </c>
      <c r="AA11" s="13">
        <f>IF(AND(AA$3&gt;=Schedule!$F11,AA$3&lt;=Schedule!$G11,WEEKDAY(AA$3,2)&lt;=5),"■","")</f>
        <v/>
      </c>
      <c r="AB11" s="13">
        <f>IF(AND(AB$3&gt;=Schedule!$F11,AB$3&lt;=Schedule!$G11,WEEKDAY(AB$3,2)&lt;=5),"■","")</f>
        <v/>
      </c>
      <c r="AC11" s="13">
        <f>IF(AND(AC$3&gt;=Schedule!$F11,AC$3&lt;=Schedule!$G11,WEEKDAY(AC$3,2)&lt;=5),"■","")</f>
        <v/>
      </c>
      <c r="AD11" s="13">
        <f>IF(AND(AD$3&gt;=Schedule!$F11,AD$3&lt;=Schedule!$G11,WEEKDAY(AD$3,2)&lt;=5),"■","")</f>
        <v/>
      </c>
      <c r="AE11" s="13">
        <f>IF(AND(AE$3&gt;=Schedule!$F11,AE$3&lt;=Schedule!$G11,WEEKDAY(AE$3,2)&lt;=5),"■","")</f>
        <v/>
      </c>
      <c r="AF11" s="13">
        <f>IF(AND(AF$3&gt;=Schedule!$F11,AF$3&lt;=Schedule!$G11,WEEKDAY(AF$3,2)&lt;=5),"■","")</f>
        <v/>
      </c>
      <c r="AG11" s="13">
        <f>IF(AND(AG$3&gt;=Schedule!$F11,AG$3&lt;=Schedule!$G11,WEEKDAY(AG$3,2)&lt;=5),"■","")</f>
        <v/>
      </c>
      <c r="AH11" s="13">
        <f>IF(AND(AH$3&gt;=Schedule!$F11,AH$3&lt;=Schedule!$G11,WEEKDAY(AH$3,2)&lt;=5),"■","")</f>
        <v/>
      </c>
      <c r="AI11" s="13">
        <f>IF(AND(AI$3&gt;=Schedule!$F11,AI$3&lt;=Schedule!$G11,WEEKDAY(AI$3,2)&lt;=5),"■","")</f>
        <v/>
      </c>
      <c r="AJ11" s="13">
        <f>IF(AND(AJ$3&gt;=Schedule!$F11,AJ$3&lt;=Schedule!$G11,WEEKDAY(AJ$3,2)&lt;=5),"■","")</f>
        <v/>
      </c>
    </row>
    <row r="13">
      <c r="A13" t="inlineStr">
        <is>
          <t>红=关键路径任务，蓝=非关键任务，灰=周末。上线日 2026-10-01（周四）。</t>
        </is>
      </c>
    </row>
  </sheetData>
  <conditionalFormatting sqref="C4:AJ11">
    <cfRule type="expression" priority="1" dxfId="1">
      <formula>WEEKDAY(C$3,2)&gt;5</formula>
    </cfRule>
    <cfRule type="expression" priority="2" dxfId="2">
      <formula>C4="■"</formula>
    </cfRule>
    <cfRule type="expression" priority="3" dxfId="3">
      <formula>AND(C4="■",INDEX(Schedule!$K$4:$K$11,ROW()-3)="YES")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5" customWidth="1" min="3" max="3"/>
    <col width="14" customWidth="1" min="4" max="4"/>
    <col width="9" customWidth="1" min="5" max="5"/>
    <col width="13" customWidth="1" min="6" max="6"/>
    <col width="8" customWidth="1" min="7" max="7"/>
    <col width="11" customWidth="1" min="8" max="8"/>
    <col width="12" customWidth="1" min="9" max="9"/>
    <col width="9" customWidth="1" min="10" max="10"/>
    <col width="16" customWidth="1" min="11" max="11"/>
  </cols>
  <sheetData>
    <row r="1">
      <c r="A1" s="1" t="inlineStr">
        <is>
          <t>RACI 矩阵（每项只有一个 A）</t>
        </is>
      </c>
    </row>
    <row r="2">
      <c r="A2" s="3" t="inlineStr">
        <is>
          <t>ID</t>
        </is>
      </c>
      <c r="B2" s="3" t="inlineStr">
        <is>
          <t>Task</t>
        </is>
      </c>
      <c r="C2" s="3" t="inlineStr">
        <is>
          <t>Sponsor (COO)</t>
        </is>
      </c>
      <c r="D2" s="3" t="inlineStr">
        <is>
          <t>Program Lead</t>
        </is>
      </c>
      <c r="E2" s="3" t="inlineStr">
        <is>
          <t>Product</t>
        </is>
      </c>
      <c r="F2" s="3" t="inlineStr">
        <is>
          <t>Engineering</t>
        </is>
      </c>
      <c r="G2" s="3" t="inlineStr">
        <is>
          <t>Legal</t>
        </is>
      </c>
      <c r="H2" s="3" t="inlineStr">
        <is>
          <t>Marketing</t>
        </is>
      </c>
      <c r="I2" s="3" t="inlineStr">
        <is>
          <t>Enablement</t>
        </is>
      </c>
      <c r="J2" s="3" t="inlineStr">
        <is>
          <t>InfoSec</t>
        </is>
      </c>
      <c r="K2" s="3" t="inlineStr">
        <is>
          <t>A 计数（应=1）</t>
        </is>
      </c>
    </row>
    <row r="3">
      <c r="A3" t="inlineStr">
        <is>
          <t>A</t>
        </is>
      </c>
      <c r="B3" t="inlineStr">
        <is>
          <t>Requirements</t>
        </is>
      </c>
      <c r="C3" s="14" t="inlineStr">
        <is>
          <t>I</t>
        </is>
      </c>
      <c r="D3" s="14" t="inlineStr">
        <is>
          <t>C</t>
        </is>
      </c>
      <c r="E3" s="15" t="inlineStr">
        <is>
          <t>A/R</t>
        </is>
      </c>
      <c r="F3" s="14" t="inlineStr">
        <is>
          <t>C</t>
        </is>
      </c>
      <c r="G3" s="14" t="inlineStr">
        <is>
          <t>C</t>
        </is>
      </c>
      <c r="H3" s="14" t="inlineStr">
        <is>
          <t>I</t>
        </is>
      </c>
      <c r="I3" s="14" t="inlineStr">
        <is>
          <t>I</t>
        </is>
      </c>
      <c r="J3" s="14" t="inlineStr">
        <is>
          <t>I</t>
        </is>
      </c>
      <c r="K3" s="8">
        <f>COUNTIF(C3:J3,"*A*")</f>
        <v/>
      </c>
    </row>
    <row r="4">
      <c r="A4" t="inlineStr">
        <is>
          <t>B</t>
        </is>
      </c>
      <c r="B4" t="inlineStr">
        <is>
          <t>Solution design</t>
        </is>
      </c>
      <c r="C4" s="14" t="inlineStr">
        <is>
          <t>I</t>
        </is>
      </c>
      <c r="D4" s="14" t="inlineStr">
        <is>
          <t>C</t>
        </is>
      </c>
      <c r="E4" s="14" t="inlineStr">
        <is>
          <t>C</t>
        </is>
      </c>
      <c r="F4" s="15" t="inlineStr">
        <is>
          <t>A/R</t>
        </is>
      </c>
      <c r="G4" s="14" t="inlineStr">
        <is>
          <t>I</t>
        </is>
      </c>
      <c r="H4" s="14" t="inlineStr">
        <is>
          <t>I</t>
        </is>
      </c>
      <c r="I4" s="14" t="inlineStr">
        <is>
          <t>I</t>
        </is>
      </c>
      <c r="J4" s="14" t="inlineStr">
        <is>
          <t>C</t>
        </is>
      </c>
      <c r="K4" s="8">
        <f>COUNTIF(C4:J4,"*A*")</f>
        <v/>
      </c>
    </row>
    <row r="5">
      <c r="A5" t="inlineStr">
        <is>
          <t>C</t>
        </is>
      </c>
      <c r="B5" t="inlineStr">
        <is>
          <t>Legal review</t>
        </is>
      </c>
      <c r="C5" s="14" t="inlineStr">
        <is>
          <t>I</t>
        </is>
      </c>
      <c r="D5" s="14" t="inlineStr">
        <is>
          <t>C</t>
        </is>
      </c>
      <c r="E5" s="14" t="inlineStr">
        <is>
          <t>C</t>
        </is>
      </c>
      <c r="F5" s="14" t="inlineStr">
        <is>
          <t>I</t>
        </is>
      </c>
      <c r="G5" s="15" t="inlineStr">
        <is>
          <t>A/R</t>
        </is>
      </c>
      <c r="H5" s="14" t="inlineStr">
        <is>
          <t>I</t>
        </is>
      </c>
      <c r="I5" s="14" t="inlineStr">
        <is>
          <t>I</t>
        </is>
      </c>
      <c r="J5" s="14" t="inlineStr">
        <is>
          <t>I</t>
        </is>
      </c>
      <c r="K5" s="8">
        <f>COUNTIF(C5:J5,"*A*")</f>
        <v/>
      </c>
    </row>
    <row r="6">
      <c r="A6" t="inlineStr">
        <is>
          <t>D</t>
        </is>
      </c>
      <c r="B6" t="inlineStr">
        <is>
          <t>Build</t>
        </is>
      </c>
      <c r="C6" s="14" t="inlineStr">
        <is>
          <t>I</t>
        </is>
      </c>
      <c r="D6" s="14" t="inlineStr">
        <is>
          <t>C</t>
        </is>
      </c>
      <c r="E6" s="14" t="inlineStr">
        <is>
          <t>C</t>
        </is>
      </c>
      <c r="F6" s="15" t="inlineStr">
        <is>
          <t>A/R</t>
        </is>
      </c>
      <c r="G6" s="14" t="inlineStr">
        <is>
          <t>I</t>
        </is>
      </c>
      <c r="H6" s="14" t="inlineStr">
        <is>
          <t>I</t>
        </is>
      </c>
      <c r="I6" s="14" t="inlineStr">
        <is>
          <t>I</t>
        </is>
      </c>
      <c r="J6" s="14" t="inlineStr">
        <is>
          <t>C</t>
        </is>
      </c>
      <c r="K6" s="8">
        <f>COUNTIF(C6:J6,"*A*")</f>
        <v/>
      </c>
    </row>
    <row r="7">
      <c r="A7" t="inlineStr">
        <is>
          <t>E</t>
        </is>
      </c>
      <c r="B7" t="inlineStr">
        <is>
          <t>Content</t>
        </is>
      </c>
      <c r="C7" s="14" t="inlineStr">
        <is>
          <t>I</t>
        </is>
      </c>
      <c r="D7" s="14" t="inlineStr">
        <is>
          <t>C</t>
        </is>
      </c>
      <c r="E7" s="14" t="inlineStr">
        <is>
          <t>C</t>
        </is>
      </c>
      <c r="F7" s="14" t="inlineStr">
        <is>
          <t>I</t>
        </is>
      </c>
      <c r="G7" s="14" t="inlineStr">
        <is>
          <t>C</t>
        </is>
      </c>
      <c r="H7" s="15" t="inlineStr">
        <is>
          <t>A/R</t>
        </is>
      </c>
      <c r="I7" s="14" t="inlineStr">
        <is>
          <t>I</t>
        </is>
      </c>
      <c r="J7" s="14" t="inlineStr">
        <is>
          <t>I</t>
        </is>
      </c>
      <c r="K7" s="8">
        <f>COUNTIF(C7:J7,"*A*")</f>
        <v/>
      </c>
    </row>
    <row r="8">
      <c r="A8" t="inlineStr">
        <is>
          <t>F</t>
        </is>
      </c>
      <c r="B8" t="inlineStr">
        <is>
          <t>UAT</t>
        </is>
      </c>
      <c r="C8" s="14" t="inlineStr">
        <is>
          <t>I</t>
        </is>
      </c>
      <c r="D8" s="14" t="inlineStr">
        <is>
          <t>C</t>
        </is>
      </c>
      <c r="E8" s="15" t="inlineStr">
        <is>
          <t>A/R</t>
        </is>
      </c>
      <c r="F8" s="14" t="inlineStr">
        <is>
          <t>R</t>
        </is>
      </c>
      <c r="G8" s="14" t="inlineStr">
        <is>
          <t>I</t>
        </is>
      </c>
      <c r="H8" s="14" t="inlineStr">
        <is>
          <t>R</t>
        </is>
      </c>
      <c r="I8" s="14" t="inlineStr">
        <is>
          <t>I</t>
        </is>
      </c>
      <c r="J8" s="14" t="inlineStr">
        <is>
          <t>C</t>
        </is>
      </c>
      <c r="K8" s="8">
        <f>COUNTIF(C8:J8,"*A*")</f>
        <v/>
      </c>
    </row>
    <row r="9">
      <c r="A9" t="inlineStr">
        <is>
          <t>G</t>
        </is>
      </c>
      <c r="B9" t="inlineStr">
        <is>
          <t>Training</t>
        </is>
      </c>
      <c r="C9" s="14" t="inlineStr">
        <is>
          <t>I</t>
        </is>
      </c>
      <c r="D9" s="14" t="inlineStr">
        <is>
          <t>C</t>
        </is>
      </c>
      <c r="E9" s="14" t="inlineStr">
        <is>
          <t>C</t>
        </is>
      </c>
      <c r="F9" s="14" t="inlineStr">
        <is>
          <t>I</t>
        </is>
      </c>
      <c r="G9" s="14" t="inlineStr">
        <is>
          <t>C</t>
        </is>
      </c>
      <c r="H9" s="14" t="inlineStr">
        <is>
          <t>C</t>
        </is>
      </c>
      <c r="I9" s="15" t="inlineStr">
        <is>
          <t>A/R</t>
        </is>
      </c>
      <c r="J9" s="14" t="inlineStr">
        <is>
          <t>I</t>
        </is>
      </c>
      <c r="K9" s="8">
        <f>COUNTIF(C9:J9,"*A*")</f>
        <v/>
      </c>
    </row>
    <row r="10">
      <c r="A10" t="inlineStr">
        <is>
          <t>H</t>
        </is>
      </c>
      <c r="B10" t="inlineStr">
        <is>
          <t>Launch</t>
        </is>
      </c>
      <c r="C10" s="14" t="inlineStr">
        <is>
          <t>I</t>
        </is>
      </c>
      <c r="D10" s="15" t="inlineStr">
        <is>
          <t>A/R</t>
        </is>
      </c>
      <c r="E10" s="14" t="inlineStr">
        <is>
          <t>R</t>
        </is>
      </c>
      <c r="F10" s="14" t="inlineStr">
        <is>
          <t>R</t>
        </is>
      </c>
      <c r="G10" s="14" t="inlineStr">
        <is>
          <t>C</t>
        </is>
      </c>
      <c r="H10" s="14" t="inlineStr">
        <is>
          <t>R</t>
        </is>
      </c>
      <c r="I10" s="14" t="inlineStr">
        <is>
          <t>R</t>
        </is>
      </c>
      <c r="J10" s="14" t="inlineStr">
        <is>
          <t>C</t>
        </is>
      </c>
      <c r="K10" s="8">
        <f>COUNTIF(C10:J10,"*A*")</f>
        <v/>
      </c>
    </row>
    <row r="11"/>
    <row r="12">
      <c r="A12" s="9" t="inlineStr">
        <is>
          <t>R=负责执行 A=最终负责（唯一） C=被咨询 I=被告知。InfoSec 在 UAT（F）期间为 C，符合题内要求；Sponsor 全程 I，H 上线由 Program Lead 负责。</t>
        </is>
      </c>
    </row>
  </sheetData>
  <conditionalFormatting sqref="K3:K10">
    <cfRule type="cellIs" priority="1" operator="notEqual" dxfId="4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0" customWidth="1" min="4" max="4"/>
    <col width="8" customWidth="1" min="5" max="5"/>
    <col width="8" customWidth="1" min="6" max="6"/>
    <col width="48" customWidth="1" min="7" max="7"/>
    <col width="44" customWidth="1" min="8" max="8"/>
    <col width="20" customWidth="1" min="9" max="9"/>
    <col width="26" customWidth="1" min="10" max="10"/>
  </cols>
  <sheetData>
    <row r="1">
      <c r="A1" s="1" t="inlineStr">
        <is>
          <t>风险登记册</t>
        </is>
      </c>
    </row>
    <row r="2">
      <c r="A2" s="3" t="inlineStr">
        <is>
          <t>#</t>
        </is>
      </c>
      <c r="B2" s="3" t="inlineStr">
        <is>
          <t>风险</t>
        </is>
      </c>
      <c r="C2" s="3" t="inlineStr">
        <is>
          <t>影响任务</t>
        </is>
      </c>
      <c r="D2" s="3" t="inlineStr">
        <is>
          <t>可能性</t>
        </is>
      </c>
      <c r="E2" s="3" t="inlineStr">
        <is>
          <t>影响</t>
        </is>
      </c>
      <c r="F2" s="3" t="inlineStr">
        <is>
          <t>等级</t>
        </is>
      </c>
      <c r="G2" s="3" t="inlineStr">
        <is>
          <t>分析（基于排程）</t>
        </is>
      </c>
      <c r="H2" s="3" t="inlineStr">
        <is>
          <t>应对</t>
        </is>
      </c>
      <c r="I2" s="3" t="inlineStr">
        <is>
          <t>负责人</t>
        </is>
      </c>
      <c r="J2" s="3" t="inlineStr">
        <is>
          <t>触发/监控</t>
        </is>
      </c>
    </row>
    <row r="3">
      <c r="A3" s="16" t="n">
        <v>1</v>
      </c>
      <c r="B3" s="16" t="inlineStr">
        <is>
          <t>Legal review 可能延迟 3 天</t>
        </is>
      </c>
      <c r="C3" s="16" t="inlineStr">
        <is>
          <t>C→G</t>
        </is>
      </c>
      <c r="D3" s="16" t="inlineStr">
        <is>
          <t>中</t>
        </is>
      </c>
      <c r="E3" s="16" t="inlineStr">
        <is>
          <t>低</t>
        </is>
      </c>
      <c r="F3" s="16" t="inlineStr">
        <is>
          <t>低</t>
        </is>
      </c>
      <c r="G3" s="16" t="inlineStr">
        <is>
          <t>C 的总浮动为 11 个工作日（9/10 完成，G 9/28 开始），延迟 3 天不影响上线</t>
        </is>
      </c>
      <c r="H3" s="16" t="inlineStr">
        <is>
          <t>接受；每周跟踪 C 进度，若延迟超过 8 天升级</t>
        </is>
      </c>
      <c r="I3" s="16" t="inlineStr">
        <is>
          <t>Legal / Program Lead</t>
        </is>
      </c>
      <c r="J3" s="16" t="inlineStr">
        <is>
          <t>C 未在 9/15 前完成即预警</t>
        </is>
      </c>
    </row>
    <row r="4">
      <c r="A4" s="16" t="n">
        <v>2</v>
      </c>
      <c r="B4" s="16" t="inlineStr">
        <is>
          <t>UAT 环境只有一个</t>
        </is>
      </c>
      <c r="C4" s="16" t="inlineStr">
        <is>
          <t>F</t>
        </is>
      </c>
      <c r="D4" s="16" t="inlineStr">
        <is>
          <t>中</t>
        </is>
      </c>
      <c r="E4" s="16" t="inlineStr">
        <is>
          <t>高</t>
        </is>
      </c>
      <c r="F4" s="16" t="inlineStr">
        <is>
          <t>高</t>
        </is>
      </c>
      <c r="G4" s="16" t="inlineStr">
        <is>
          <t>F 在关键路径且无浮动；环境故障或被占用直接推迟上线</t>
        </is>
      </c>
      <c r="H4" s="16" t="inlineStr">
        <is>
          <t>UAT 前一周冻结环境；准备数据回滚脚本；申请备用环境预算</t>
        </is>
      </c>
      <c r="I4" s="16" t="inlineStr">
        <is>
          <t>Engineering / Product</t>
        </is>
      </c>
      <c r="J4" s="16" t="inlineStr">
        <is>
          <t>UAT 前 9/18 环境就绪检查</t>
        </is>
      </c>
    </row>
    <row r="5">
      <c r="A5" s="16" t="n">
        <v>3</v>
      </c>
      <c r="B5" s="16" t="inlineStr">
        <is>
          <t>Marketing 负责人 9/14–15 休假</t>
        </is>
      </c>
      <c r="C5" s="16" t="inlineStr">
        <is>
          <t>E</t>
        </is>
      </c>
      <c r="D5" s="16" t="inlineStr">
        <is>
          <t>高（已知）</t>
        </is>
      </c>
      <c r="E5" s="16" t="inlineStr">
        <is>
          <t>低</t>
        </is>
      </c>
      <c r="F5" s="16" t="inlineStr">
        <is>
          <t>低</t>
        </is>
      </c>
      <c r="G5" s="16" t="inlineStr">
        <is>
          <t>E 9/10–9/17 执行，休假 2 天在其中；E 总浮动 2 个工作日，由副手覆盖则不影响</t>
        </is>
      </c>
      <c r="H5" s="16" t="inlineStr">
        <is>
          <t>副手在 9/11 前完成交接；若 E 延迟 &gt;2 天将进入关键路径</t>
        </is>
      </c>
      <c r="I5" s="16" t="inlineStr">
        <is>
          <t>Marketing</t>
        </is>
      </c>
      <c r="J5" s="16" t="inlineStr">
        <is>
          <t>E 9/15 中期检查</t>
        </is>
      </c>
    </row>
    <row r="6">
      <c r="A6" s="16" t="n">
        <v>4</v>
      </c>
      <c r="B6" s="16" t="inlineStr">
        <is>
          <t>关键路径零浮动（A-B-D-F-G-H）</t>
        </is>
      </c>
      <c r="C6" s="16" t="inlineStr">
        <is>
          <t>全部关键任务</t>
        </is>
      </c>
      <c r="D6" s="16" t="inlineStr">
        <is>
          <t>中</t>
        </is>
      </c>
      <c r="E6" s="16" t="inlineStr">
        <is>
          <t>高</t>
        </is>
      </c>
      <c r="F6" s="16" t="inlineStr">
        <is>
          <t>高</t>
        </is>
      </c>
      <c r="G6" s="16" t="inlineStr">
        <is>
          <t>计划上线日恰为 10/1，任何关键任务延迟 1 天即错过目标</t>
        </is>
      </c>
      <c r="H6" s="16" t="inlineStr">
        <is>
          <t>Build（D，8 天）每日站会；提前定义 UAT 通过标准；准备 10/2 应急沟通</t>
        </is>
      </c>
      <c r="I6" s="16" t="inlineStr">
        <is>
          <t>Program Lead</t>
        </is>
      </c>
      <c r="J6" s="16" t="inlineStr">
        <is>
          <t>任一关键任务 EF 晚于计划即升级 Sponsor</t>
        </is>
      </c>
    </row>
    <row r="7">
      <c r="A7" s="16" t="n">
        <v>5</v>
      </c>
      <c r="B7" s="16" t="inlineStr">
        <is>
          <t>Build 与 Content 同时依赖 Design 输出</t>
        </is>
      </c>
      <c r="C7" s="16" t="inlineStr">
        <is>
          <t>D、E</t>
        </is>
      </c>
      <c r="D7" s="16" t="inlineStr">
        <is>
          <t>中</t>
        </is>
      </c>
      <c r="E7" s="16" t="inlineStr">
        <is>
          <t>中</t>
        </is>
      </c>
      <c r="F7" s="16" t="inlineStr">
        <is>
          <t>中</t>
        </is>
      </c>
      <c r="G7" s="16" t="inlineStr">
        <is>
          <t>B 若延迟同时推迟 D 与 E</t>
        </is>
      </c>
      <c r="H7" s="16" t="inlineStr">
        <is>
          <t>B 完成标准前置确认；D 可在 B 9/9 前分批接收设计</t>
        </is>
      </c>
      <c r="I7" s="16" t="inlineStr">
        <is>
          <t>Engineering</t>
        </is>
      </c>
      <c r="J7" s="16" t="inlineStr">
        <is>
          <t>B 9/9 完成确认</t>
        </is>
      </c>
    </row>
    <row r="8">
      <c r="A8" s="16" t="n">
        <v>6</v>
      </c>
      <c r="B8" s="16" t="inlineStr">
        <is>
          <t>InfoSec 在 UAT 期间未及时参与</t>
        </is>
      </c>
      <c r="C8" s="16" t="inlineStr">
        <is>
          <t>F</t>
        </is>
      </c>
      <c r="D8" s="16" t="inlineStr">
        <is>
          <t>中</t>
        </is>
      </c>
      <c r="E8" s="16" t="inlineStr">
        <is>
          <t>中</t>
        </is>
      </c>
      <c r="F8" s="16" t="inlineStr">
        <is>
          <t>中</t>
        </is>
      </c>
      <c r="G8" s="16" t="inlineStr">
        <is>
          <t>InfoSec 为 C；反馈延迟会拖长 F</t>
        </is>
      </c>
      <c r="H8" s="16" t="inlineStr">
        <is>
          <t>9/15 前发出 UAT 计划并预约 InfoSec 评审时段</t>
        </is>
      </c>
      <c r="I8" s="16" t="inlineStr">
        <is>
          <t>Product</t>
        </is>
      </c>
      <c r="J8" s="16" t="inlineStr">
        <is>
          <t>9/15 邀请确认</t>
        </is>
      </c>
    </row>
  </sheetData>
  <conditionalFormatting sqref="F3:F8">
    <cfRule type="cellIs" priority="1" operator="equal" dxfId="4">
      <formula>"高"</formula>
    </cfRule>
    <cfRule type="cellIs" priority="2" operator="equal" dxfId="5">
      <formula>"中"</formula>
    </cfRule>
    <cfRule type="cellIs" priority="3" operator="equal" dxfId="6">
      <formula>"低"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2026-09-02T02:01:21Z</dcterms:created>
  <dcterms:modified xmlns:dcterms="http://purl.org/dc/terms/" xmlns:xsi="http://www.w3.org/2001/XMLSchema-instance" xsi:type="dcterms:W3CDTF">2026-09-02T02:01:21Z</dcterms:modified>
</cp:coreProperties>
</file>