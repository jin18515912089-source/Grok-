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%"/>
  </numFmts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i val="1"/>
      <color rgb="00595959"/>
    </font>
    <font>
      <name val="Microsoft YaHei"/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0" fontId="0" fillId="2" borderId="1" pivotButton="0" quotePrefix="0" xfId="0"/>
    <xf numFmtId="10" fontId="0" fillId="2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2" fillId="0" borderId="0" applyAlignment="1" pivotButton="0" quotePrefix="0" xfId="0">
      <alignment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3" fontId="4" fillId="3" borderId="0" pivotButton="0" quotePrefix="0" xfId="0"/>
    <xf numFmtId="0" fontId="0" fillId="2" borderId="0" pivotButton="0" quotePrefix="0" xfId="0"/>
    <xf numFmtId="3" fontId="0" fillId="3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IFRS 16 租赁计量假设（黄色=输入；绿色=公式；金额：元）</t>
        </is>
      </c>
    </row>
    <row r="3">
      <c r="A3" t="inlineStr">
        <is>
          <t>租赁开始日</t>
        </is>
      </c>
      <c r="B3" s="2" t="n">
        <v>46388</v>
      </c>
    </row>
    <row r="4">
      <c r="A4" t="inlineStr">
        <is>
          <t>每期付款（月末）</t>
        </is>
      </c>
      <c r="B4" s="3" t="n">
        <v>100000</v>
      </c>
    </row>
    <row r="5">
      <c r="A5" t="inlineStr">
        <is>
          <t>期数（月）</t>
        </is>
      </c>
      <c r="B5" s="4" t="n">
        <v>24</v>
      </c>
    </row>
    <row r="6">
      <c r="A6" t="inlineStr">
        <is>
          <t>年有效折现率</t>
        </is>
      </c>
      <c r="B6" s="5" t="n">
        <v>0.06</v>
      </c>
    </row>
    <row r="7">
      <c r="A7" t="inlineStr">
        <is>
          <t>月折现率 =(1+年率)^(1/12)-1</t>
        </is>
      </c>
      <c r="B7" s="6">
        <f>(1+B6)^(1/12)-1</f>
        <v/>
      </c>
    </row>
    <row r="8">
      <c r="A8" t="inlineStr">
        <is>
          <t>初始租赁负债（期末付款年金现值）</t>
        </is>
      </c>
      <c r="B8" s="7">
        <f>B4*(1-(1+B7)^(-B5))/B7</f>
        <v/>
      </c>
    </row>
    <row r="9">
      <c r="A9" t="inlineStr">
        <is>
          <t>初始使用权资产 ROU（=初始负债）</t>
        </is>
      </c>
      <c r="B9" s="7">
        <f>B8</f>
        <v/>
      </c>
    </row>
    <row r="10">
      <c r="A10" t="inlineStr">
        <is>
          <t>ROU 月折旧（直线）</t>
        </is>
      </c>
      <c r="B10" s="7">
        <f>B9/B5</f>
        <v/>
      </c>
    </row>
    <row r="11">
      <c r="A11" t="inlineStr">
        <is>
          <t>增值税/初始直接成本/预付款/激励/复原义务</t>
        </is>
      </c>
      <c r="B11" s="3" t="n">
        <v>0</v>
      </c>
    </row>
    <row r="14">
      <c r="A14" s="8" t="inlineStr">
        <is>
          <t>口径：支付在期末；无增值税、初始直接成本、预付款、激励或复原义务；ROU 按 24 个月直线折旧；显示保留到元，公式保留全精度。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14" customWidth="1" min="4" max="4"/>
    <col width="14" customWidth="1" min="5" max="5"/>
    <col width="14" customWidth="1" min="6" max="6"/>
    <col width="19" customWidth="1" min="7" max="7"/>
    <col width="18" customWidth="1" min="8" max="8"/>
    <col width="21" customWidth="1" min="9" max="9"/>
    <col width="14" customWidth="1" min="10" max="10"/>
  </cols>
  <sheetData>
    <row r="1">
      <c r="A1" s="1" t="inlineStr">
        <is>
          <t>24 个月租赁负债摊销与 ROU 折旧（元；全部为公式）</t>
        </is>
      </c>
    </row>
    <row r="2"/>
    <row r="3">
      <c r="A3" s="9" t="inlineStr">
        <is>
          <t>Month</t>
        </is>
      </c>
      <c r="B3" s="9" t="inlineStr">
        <is>
          <t>Period End Date</t>
        </is>
      </c>
      <c r="C3" s="9" t="inlineStr">
        <is>
          <t>Opening Liability</t>
        </is>
      </c>
      <c r="D3" s="9" t="inlineStr">
        <is>
          <t>Interest</t>
        </is>
      </c>
      <c r="E3" s="9" t="inlineStr">
        <is>
          <t>Payment</t>
        </is>
      </c>
      <c r="F3" s="9" t="inlineStr">
        <is>
          <t>Principal</t>
        </is>
      </c>
      <c r="G3" s="9" t="inlineStr">
        <is>
          <t>Closing Liability</t>
        </is>
      </c>
      <c r="H3" s="9" t="inlineStr">
        <is>
          <t>ROU Depreciation</t>
        </is>
      </c>
      <c r="I3" s="9" t="inlineStr">
        <is>
          <t>ROU Carrying Amount</t>
        </is>
      </c>
      <c r="J3" s="9" t="inlineStr">
        <is>
          <t>Year</t>
        </is>
      </c>
    </row>
    <row r="4">
      <c r="A4" s="10" t="n">
        <v>1</v>
      </c>
      <c r="B4" s="11">
        <f>EOMONTH(Assumptions!$B$3,0)</f>
        <v/>
      </c>
      <c r="C4" s="7">
        <f>Assumptions!$B$8</f>
        <v/>
      </c>
      <c r="D4" s="7">
        <f>C4*Assumptions!$B$7</f>
        <v/>
      </c>
      <c r="E4" s="7">
        <f>Assumptions!$B$4</f>
        <v/>
      </c>
      <c r="F4" s="7">
        <f>E4-D4</f>
        <v/>
      </c>
      <c r="G4" s="7">
        <f>C4-F4</f>
        <v/>
      </c>
      <c r="H4" s="7">
        <f>Assumptions!$B$10</f>
        <v/>
      </c>
      <c r="I4" s="7">
        <f>Assumptions!$B$9-SUM($H$4:H4)</f>
        <v/>
      </c>
      <c r="J4" s="12">
        <f>YEAR(B4)</f>
        <v/>
      </c>
    </row>
    <row r="5">
      <c r="A5" s="10" t="n">
        <v>2</v>
      </c>
      <c r="B5" s="11">
        <f>EOMONTH(Assumptions!$B$3,1)</f>
        <v/>
      </c>
      <c r="C5" s="7">
        <f>G4</f>
        <v/>
      </c>
      <c r="D5" s="7">
        <f>C5*Assumptions!$B$7</f>
        <v/>
      </c>
      <c r="E5" s="7">
        <f>Assumptions!$B$4</f>
        <v/>
      </c>
      <c r="F5" s="7">
        <f>E5-D5</f>
        <v/>
      </c>
      <c r="G5" s="7">
        <f>C5-F5</f>
        <v/>
      </c>
      <c r="H5" s="7">
        <f>Assumptions!$B$10</f>
        <v/>
      </c>
      <c r="I5" s="7">
        <f>Assumptions!$B$9-SUM($H$4:H5)</f>
        <v/>
      </c>
      <c r="J5" s="12">
        <f>YEAR(B5)</f>
        <v/>
      </c>
    </row>
    <row r="6">
      <c r="A6" s="10" t="n">
        <v>3</v>
      </c>
      <c r="B6" s="11">
        <f>EOMONTH(Assumptions!$B$3,2)</f>
        <v/>
      </c>
      <c r="C6" s="7">
        <f>G5</f>
        <v/>
      </c>
      <c r="D6" s="7">
        <f>C6*Assumptions!$B$7</f>
        <v/>
      </c>
      <c r="E6" s="7">
        <f>Assumptions!$B$4</f>
        <v/>
      </c>
      <c r="F6" s="7">
        <f>E6-D6</f>
        <v/>
      </c>
      <c r="G6" s="7">
        <f>C6-F6</f>
        <v/>
      </c>
      <c r="H6" s="7">
        <f>Assumptions!$B$10</f>
        <v/>
      </c>
      <c r="I6" s="7">
        <f>Assumptions!$B$9-SUM($H$4:H6)</f>
        <v/>
      </c>
      <c r="J6" s="12">
        <f>YEAR(B6)</f>
        <v/>
      </c>
    </row>
    <row r="7">
      <c r="A7" s="10" t="n">
        <v>4</v>
      </c>
      <c r="B7" s="11">
        <f>EOMONTH(Assumptions!$B$3,3)</f>
        <v/>
      </c>
      <c r="C7" s="7">
        <f>G6</f>
        <v/>
      </c>
      <c r="D7" s="7">
        <f>C7*Assumptions!$B$7</f>
        <v/>
      </c>
      <c r="E7" s="7">
        <f>Assumptions!$B$4</f>
        <v/>
      </c>
      <c r="F7" s="7">
        <f>E7-D7</f>
        <v/>
      </c>
      <c r="G7" s="7">
        <f>C7-F7</f>
        <v/>
      </c>
      <c r="H7" s="7">
        <f>Assumptions!$B$10</f>
        <v/>
      </c>
      <c r="I7" s="7">
        <f>Assumptions!$B$9-SUM($H$4:H7)</f>
        <v/>
      </c>
      <c r="J7" s="12">
        <f>YEAR(B7)</f>
        <v/>
      </c>
    </row>
    <row r="8">
      <c r="A8" s="10" t="n">
        <v>5</v>
      </c>
      <c r="B8" s="11">
        <f>EOMONTH(Assumptions!$B$3,4)</f>
        <v/>
      </c>
      <c r="C8" s="7">
        <f>G7</f>
        <v/>
      </c>
      <c r="D8" s="7">
        <f>C8*Assumptions!$B$7</f>
        <v/>
      </c>
      <c r="E8" s="7">
        <f>Assumptions!$B$4</f>
        <v/>
      </c>
      <c r="F8" s="7">
        <f>E8-D8</f>
        <v/>
      </c>
      <c r="G8" s="7">
        <f>C8-F8</f>
        <v/>
      </c>
      <c r="H8" s="7">
        <f>Assumptions!$B$10</f>
        <v/>
      </c>
      <c r="I8" s="7">
        <f>Assumptions!$B$9-SUM($H$4:H8)</f>
        <v/>
      </c>
      <c r="J8" s="12">
        <f>YEAR(B8)</f>
        <v/>
      </c>
    </row>
    <row r="9">
      <c r="A9" s="10" t="n">
        <v>6</v>
      </c>
      <c r="B9" s="11">
        <f>EOMONTH(Assumptions!$B$3,5)</f>
        <v/>
      </c>
      <c r="C9" s="7">
        <f>G8</f>
        <v/>
      </c>
      <c r="D9" s="7">
        <f>C9*Assumptions!$B$7</f>
        <v/>
      </c>
      <c r="E9" s="7">
        <f>Assumptions!$B$4</f>
        <v/>
      </c>
      <c r="F9" s="7">
        <f>E9-D9</f>
        <v/>
      </c>
      <c r="G9" s="7">
        <f>C9-F9</f>
        <v/>
      </c>
      <c r="H9" s="7">
        <f>Assumptions!$B$10</f>
        <v/>
      </c>
      <c r="I9" s="7">
        <f>Assumptions!$B$9-SUM($H$4:H9)</f>
        <v/>
      </c>
      <c r="J9" s="12">
        <f>YEAR(B9)</f>
        <v/>
      </c>
    </row>
    <row r="10">
      <c r="A10" s="10" t="n">
        <v>7</v>
      </c>
      <c r="B10" s="11">
        <f>EOMONTH(Assumptions!$B$3,6)</f>
        <v/>
      </c>
      <c r="C10" s="7">
        <f>G9</f>
        <v/>
      </c>
      <c r="D10" s="7">
        <f>C10*Assumptions!$B$7</f>
        <v/>
      </c>
      <c r="E10" s="7">
        <f>Assumptions!$B$4</f>
        <v/>
      </c>
      <c r="F10" s="7">
        <f>E10-D10</f>
        <v/>
      </c>
      <c r="G10" s="7">
        <f>C10-F10</f>
        <v/>
      </c>
      <c r="H10" s="7">
        <f>Assumptions!$B$10</f>
        <v/>
      </c>
      <c r="I10" s="7">
        <f>Assumptions!$B$9-SUM($H$4:H10)</f>
        <v/>
      </c>
      <c r="J10" s="12">
        <f>YEAR(B10)</f>
        <v/>
      </c>
    </row>
    <row r="11">
      <c r="A11" s="10" t="n">
        <v>8</v>
      </c>
      <c r="B11" s="11">
        <f>EOMONTH(Assumptions!$B$3,7)</f>
        <v/>
      </c>
      <c r="C11" s="7">
        <f>G10</f>
        <v/>
      </c>
      <c r="D11" s="7">
        <f>C11*Assumptions!$B$7</f>
        <v/>
      </c>
      <c r="E11" s="7">
        <f>Assumptions!$B$4</f>
        <v/>
      </c>
      <c r="F11" s="7">
        <f>E11-D11</f>
        <v/>
      </c>
      <c r="G11" s="7">
        <f>C11-F11</f>
        <v/>
      </c>
      <c r="H11" s="7">
        <f>Assumptions!$B$10</f>
        <v/>
      </c>
      <c r="I11" s="7">
        <f>Assumptions!$B$9-SUM($H$4:H11)</f>
        <v/>
      </c>
      <c r="J11" s="12">
        <f>YEAR(B11)</f>
        <v/>
      </c>
    </row>
    <row r="12">
      <c r="A12" s="10" t="n">
        <v>9</v>
      </c>
      <c r="B12" s="11">
        <f>EOMONTH(Assumptions!$B$3,8)</f>
        <v/>
      </c>
      <c r="C12" s="7">
        <f>G11</f>
        <v/>
      </c>
      <c r="D12" s="7">
        <f>C12*Assumptions!$B$7</f>
        <v/>
      </c>
      <c r="E12" s="7">
        <f>Assumptions!$B$4</f>
        <v/>
      </c>
      <c r="F12" s="7">
        <f>E12-D12</f>
        <v/>
      </c>
      <c r="G12" s="7">
        <f>C12-F12</f>
        <v/>
      </c>
      <c r="H12" s="7">
        <f>Assumptions!$B$10</f>
        <v/>
      </c>
      <c r="I12" s="7">
        <f>Assumptions!$B$9-SUM($H$4:H12)</f>
        <v/>
      </c>
      <c r="J12" s="12">
        <f>YEAR(B12)</f>
        <v/>
      </c>
    </row>
    <row r="13">
      <c r="A13" s="10" t="n">
        <v>10</v>
      </c>
      <c r="B13" s="11">
        <f>EOMONTH(Assumptions!$B$3,9)</f>
        <v/>
      </c>
      <c r="C13" s="7">
        <f>G12</f>
        <v/>
      </c>
      <c r="D13" s="7">
        <f>C13*Assumptions!$B$7</f>
        <v/>
      </c>
      <c r="E13" s="7">
        <f>Assumptions!$B$4</f>
        <v/>
      </c>
      <c r="F13" s="7">
        <f>E13-D13</f>
        <v/>
      </c>
      <c r="G13" s="7">
        <f>C13-F13</f>
        <v/>
      </c>
      <c r="H13" s="7">
        <f>Assumptions!$B$10</f>
        <v/>
      </c>
      <c r="I13" s="7">
        <f>Assumptions!$B$9-SUM($H$4:H13)</f>
        <v/>
      </c>
      <c r="J13" s="12">
        <f>YEAR(B13)</f>
        <v/>
      </c>
    </row>
    <row r="14">
      <c r="A14" s="10" t="n">
        <v>11</v>
      </c>
      <c r="B14" s="11">
        <f>EOMONTH(Assumptions!$B$3,10)</f>
        <v/>
      </c>
      <c r="C14" s="7">
        <f>G13</f>
        <v/>
      </c>
      <c r="D14" s="7">
        <f>C14*Assumptions!$B$7</f>
        <v/>
      </c>
      <c r="E14" s="7">
        <f>Assumptions!$B$4</f>
        <v/>
      </c>
      <c r="F14" s="7">
        <f>E14-D14</f>
        <v/>
      </c>
      <c r="G14" s="7">
        <f>C14-F14</f>
        <v/>
      </c>
      <c r="H14" s="7">
        <f>Assumptions!$B$10</f>
        <v/>
      </c>
      <c r="I14" s="7">
        <f>Assumptions!$B$9-SUM($H$4:H14)</f>
        <v/>
      </c>
      <c r="J14" s="12">
        <f>YEAR(B14)</f>
        <v/>
      </c>
    </row>
    <row r="15">
      <c r="A15" s="10" t="n">
        <v>12</v>
      </c>
      <c r="B15" s="11">
        <f>EOMONTH(Assumptions!$B$3,11)</f>
        <v/>
      </c>
      <c r="C15" s="7">
        <f>G14</f>
        <v/>
      </c>
      <c r="D15" s="7">
        <f>C15*Assumptions!$B$7</f>
        <v/>
      </c>
      <c r="E15" s="7">
        <f>Assumptions!$B$4</f>
        <v/>
      </c>
      <c r="F15" s="7">
        <f>E15-D15</f>
        <v/>
      </c>
      <c r="G15" s="7">
        <f>C15-F15</f>
        <v/>
      </c>
      <c r="H15" s="7">
        <f>Assumptions!$B$10</f>
        <v/>
      </c>
      <c r="I15" s="7">
        <f>Assumptions!$B$9-SUM($H$4:H15)</f>
        <v/>
      </c>
      <c r="J15" s="12">
        <f>YEAR(B15)</f>
        <v/>
      </c>
    </row>
    <row r="16">
      <c r="A16" s="10" t="n">
        <v>13</v>
      </c>
      <c r="B16" s="11">
        <f>EOMONTH(Assumptions!$B$3,12)</f>
        <v/>
      </c>
      <c r="C16" s="7">
        <f>G15</f>
        <v/>
      </c>
      <c r="D16" s="7">
        <f>C16*Assumptions!$B$7</f>
        <v/>
      </c>
      <c r="E16" s="7">
        <f>Assumptions!$B$4</f>
        <v/>
      </c>
      <c r="F16" s="7">
        <f>E16-D16</f>
        <v/>
      </c>
      <c r="G16" s="7">
        <f>C16-F16</f>
        <v/>
      </c>
      <c r="H16" s="7">
        <f>Assumptions!$B$10</f>
        <v/>
      </c>
      <c r="I16" s="7">
        <f>Assumptions!$B$9-SUM($H$4:H16)</f>
        <v/>
      </c>
      <c r="J16" s="12">
        <f>YEAR(B16)</f>
        <v/>
      </c>
    </row>
    <row r="17">
      <c r="A17" s="10" t="n">
        <v>14</v>
      </c>
      <c r="B17" s="11">
        <f>EOMONTH(Assumptions!$B$3,13)</f>
        <v/>
      </c>
      <c r="C17" s="7">
        <f>G16</f>
        <v/>
      </c>
      <c r="D17" s="7">
        <f>C17*Assumptions!$B$7</f>
        <v/>
      </c>
      <c r="E17" s="7">
        <f>Assumptions!$B$4</f>
        <v/>
      </c>
      <c r="F17" s="7">
        <f>E17-D17</f>
        <v/>
      </c>
      <c r="G17" s="7">
        <f>C17-F17</f>
        <v/>
      </c>
      <c r="H17" s="7">
        <f>Assumptions!$B$10</f>
        <v/>
      </c>
      <c r="I17" s="7">
        <f>Assumptions!$B$9-SUM($H$4:H17)</f>
        <v/>
      </c>
      <c r="J17" s="12">
        <f>YEAR(B17)</f>
        <v/>
      </c>
    </row>
    <row r="18">
      <c r="A18" s="10" t="n">
        <v>15</v>
      </c>
      <c r="B18" s="11">
        <f>EOMONTH(Assumptions!$B$3,14)</f>
        <v/>
      </c>
      <c r="C18" s="7">
        <f>G17</f>
        <v/>
      </c>
      <c r="D18" s="7">
        <f>C18*Assumptions!$B$7</f>
        <v/>
      </c>
      <c r="E18" s="7">
        <f>Assumptions!$B$4</f>
        <v/>
      </c>
      <c r="F18" s="7">
        <f>E18-D18</f>
        <v/>
      </c>
      <c r="G18" s="7">
        <f>C18-F18</f>
        <v/>
      </c>
      <c r="H18" s="7">
        <f>Assumptions!$B$10</f>
        <v/>
      </c>
      <c r="I18" s="7">
        <f>Assumptions!$B$9-SUM($H$4:H18)</f>
        <v/>
      </c>
      <c r="J18" s="12">
        <f>YEAR(B18)</f>
        <v/>
      </c>
    </row>
    <row r="19">
      <c r="A19" s="10" t="n">
        <v>16</v>
      </c>
      <c r="B19" s="11">
        <f>EOMONTH(Assumptions!$B$3,15)</f>
        <v/>
      </c>
      <c r="C19" s="7">
        <f>G18</f>
        <v/>
      </c>
      <c r="D19" s="7">
        <f>C19*Assumptions!$B$7</f>
        <v/>
      </c>
      <c r="E19" s="7">
        <f>Assumptions!$B$4</f>
        <v/>
      </c>
      <c r="F19" s="7">
        <f>E19-D19</f>
        <v/>
      </c>
      <c r="G19" s="7">
        <f>C19-F19</f>
        <v/>
      </c>
      <c r="H19" s="7">
        <f>Assumptions!$B$10</f>
        <v/>
      </c>
      <c r="I19" s="7">
        <f>Assumptions!$B$9-SUM($H$4:H19)</f>
        <v/>
      </c>
      <c r="J19" s="12">
        <f>YEAR(B19)</f>
        <v/>
      </c>
    </row>
    <row r="20">
      <c r="A20" s="10" t="n">
        <v>17</v>
      </c>
      <c r="B20" s="11">
        <f>EOMONTH(Assumptions!$B$3,16)</f>
        <v/>
      </c>
      <c r="C20" s="7">
        <f>G19</f>
        <v/>
      </c>
      <c r="D20" s="7">
        <f>C20*Assumptions!$B$7</f>
        <v/>
      </c>
      <c r="E20" s="7">
        <f>Assumptions!$B$4</f>
        <v/>
      </c>
      <c r="F20" s="7">
        <f>E20-D20</f>
        <v/>
      </c>
      <c r="G20" s="7">
        <f>C20-F20</f>
        <v/>
      </c>
      <c r="H20" s="7">
        <f>Assumptions!$B$10</f>
        <v/>
      </c>
      <c r="I20" s="7">
        <f>Assumptions!$B$9-SUM($H$4:H20)</f>
        <v/>
      </c>
      <c r="J20" s="12">
        <f>YEAR(B20)</f>
        <v/>
      </c>
    </row>
    <row r="21">
      <c r="A21" s="10" t="n">
        <v>18</v>
      </c>
      <c r="B21" s="11">
        <f>EOMONTH(Assumptions!$B$3,17)</f>
        <v/>
      </c>
      <c r="C21" s="7">
        <f>G20</f>
        <v/>
      </c>
      <c r="D21" s="7">
        <f>C21*Assumptions!$B$7</f>
        <v/>
      </c>
      <c r="E21" s="7">
        <f>Assumptions!$B$4</f>
        <v/>
      </c>
      <c r="F21" s="7">
        <f>E21-D21</f>
        <v/>
      </c>
      <c r="G21" s="7">
        <f>C21-F21</f>
        <v/>
      </c>
      <c r="H21" s="7">
        <f>Assumptions!$B$10</f>
        <v/>
      </c>
      <c r="I21" s="7">
        <f>Assumptions!$B$9-SUM($H$4:H21)</f>
        <v/>
      </c>
      <c r="J21" s="12">
        <f>YEAR(B21)</f>
        <v/>
      </c>
    </row>
    <row r="22">
      <c r="A22" s="10" t="n">
        <v>19</v>
      </c>
      <c r="B22" s="11">
        <f>EOMONTH(Assumptions!$B$3,18)</f>
        <v/>
      </c>
      <c r="C22" s="7">
        <f>G21</f>
        <v/>
      </c>
      <c r="D22" s="7">
        <f>C22*Assumptions!$B$7</f>
        <v/>
      </c>
      <c r="E22" s="7">
        <f>Assumptions!$B$4</f>
        <v/>
      </c>
      <c r="F22" s="7">
        <f>E22-D22</f>
        <v/>
      </c>
      <c r="G22" s="7">
        <f>C22-F22</f>
        <v/>
      </c>
      <c r="H22" s="7">
        <f>Assumptions!$B$10</f>
        <v/>
      </c>
      <c r="I22" s="7">
        <f>Assumptions!$B$9-SUM($H$4:H22)</f>
        <v/>
      </c>
      <c r="J22" s="12">
        <f>YEAR(B22)</f>
        <v/>
      </c>
    </row>
    <row r="23">
      <c r="A23" s="10" t="n">
        <v>20</v>
      </c>
      <c r="B23" s="11">
        <f>EOMONTH(Assumptions!$B$3,19)</f>
        <v/>
      </c>
      <c r="C23" s="7">
        <f>G22</f>
        <v/>
      </c>
      <c r="D23" s="7">
        <f>C23*Assumptions!$B$7</f>
        <v/>
      </c>
      <c r="E23" s="7">
        <f>Assumptions!$B$4</f>
        <v/>
      </c>
      <c r="F23" s="7">
        <f>E23-D23</f>
        <v/>
      </c>
      <c r="G23" s="7">
        <f>C23-F23</f>
        <v/>
      </c>
      <c r="H23" s="7">
        <f>Assumptions!$B$10</f>
        <v/>
      </c>
      <c r="I23" s="7">
        <f>Assumptions!$B$9-SUM($H$4:H23)</f>
        <v/>
      </c>
      <c r="J23" s="12">
        <f>YEAR(B23)</f>
        <v/>
      </c>
    </row>
    <row r="24">
      <c r="A24" s="10" t="n">
        <v>21</v>
      </c>
      <c r="B24" s="11">
        <f>EOMONTH(Assumptions!$B$3,20)</f>
        <v/>
      </c>
      <c r="C24" s="7">
        <f>G23</f>
        <v/>
      </c>
      <c r="D24" s="7">
        <f>C24*Assumptions!$B$7</f>
        <v/>
      </c>
      <c r="E24" s="7">
        <f>Assumptions!$B$4</f>
        <v/>
      </c>
      <c r="F24" s="7">
        <f>E24-D24</f>
        <v/>
      </c>
      <c r="G24" s="7">
        <f>C24-F24</f>
        <v/>
      </c>
      <c r="H24" s="7">
        <f>Assumptions!$B$10</f>
        <v/>
      </c>
      <c r="I24" s="7">
        <f>Assumptions!$B$9-SUM($H$4:H24)</f>
        <v/>
      </c>
      <c r="J24" s="12">
        <f>YEAR(B24)</f>
        <v/>
      </c>
    </row>
    <row r="25">
      <c r="A25" s="10" t="n">
        <v>22</v>
      </c>
      <c r="B25" s="11">
        <f>EOMONTH(Assumptions!$B$3,21)</f>
        <v/>
      </c>
      <c r="C25" s="7">
        <f>G24</f>
        <v/>
      </c>
      <c r="D25" s="7">
        <f>C25*Assumptions!$B$7</f>
        <v/>
      </c>
      <c r="E25" s="7">
        <f>Assumptions!$B$4</f>
        <v/>
      </c>
      <c r="F25" s="7">
        <f>E25-D25</f>
        <v/>
      </c>
      <c r="G25" s="7">
        <f>C25-F25</f>
        <v/>
      </c>
      <c r="H25" s="7">
        <f>Assumptions!$B$10</f>
        <v/>
      </c>
      <c r="I25" s="7">
        <f>Assumptions!$B$9-SUM($H$4:H25)</f>
        <v/>
      </c>
      <c r="J25" s="12">
        <f>YEAR(B25)</f>
        <v/>
      </c>
    </row>
    <row r="26">
      <c r="A26" s="10" t="n">
        <v>23</v>
      </c>
      <c r="B26" s="11">
        <f>EOMONTH(Assumptions!$B$3,22)</f>
        <v/>
      </c>
      <c r="C26" s="7">
        <f>G25</f>
        <v/>
      </c>
      <c r="D26" s="7">
        <f>C26*Assumptions!$B$7</f>
        <v/>
      </c>
      <c r="E26" s="7">
        <f>Assumptions!$B$4</f>
        <v/>
      </c>
      <c r="F26" s="7">
        <f>E26-D26</f>
        <v/>
      </c>
      <c r="G26" s="7">
        <f>C26-F26</f>
        <v/>
      </c>
      <c r="H26" s="7">
        <f>Assumptions!$B$10</f>
        <v/>
      </c>
      <c r="I26" s="7">
        <f>Assumptions!$B$9-SUM($H$4:H26)</f>
        <v/>
      </c>
      <c r="J26" s="12">
        <f>YEAR(B26)</f>
        <v/>
      </c>
    </row>
    <row r="27">
      <c r="A27" s="10" t="n">
        <v>24</v>
      </c>
      <c r="B27" s="11">
        <f>EOMONTH(Assumptions!$B$3,23)</f>
        <v/>
      </c>
      <c r="C27" s="7">
        <f>G26</f>
        <v/>
      </c>
      <c r="D27" s="7">
        <f>C27*Assumptions!$B$7</f>
        <v/>
      </c>
      <c r="E27" s="7">
        <f>Assumptions!$B$4</f>
        <v/>
      </c>
      <c r="F27" s="7">
        <f>E27-D27</f>
        <v/>
      </c>
      <c r="G27" s="7">
        <f>C27-F27</f>
        <v/>
      </c>
      <c r="H27" s="7">
        <f>Assumptions!$B$10</f>
        <v/>
      </c>
      <c r="I27" s="7">
        <f>Assumptions!$B$9-SUM($H$4:H27)</f>
        <v/>
      </c>
      <c r="J27" s="12">
        <f>YEAR(B27)</f>
        <v/>
      </c>
    </row>
    <row r="28">
      <c r="A28" s="13" t="inlineStr">
        <is>
          <t>合计</t>
        </is>
      </c>
      <c r="D28" s="14">
        <f>SUM(D4:D27)</f>
        <v/>
      </c>
      <c r="E28" s="14">
        <f>SUM(E4:E27)</f>
        <v/>
      </c>
      <c r="F28" s="14">
        <f>SUM(F4:F27)</f>
        <v/>
      </c>
      <c r="H28" s="14">
        <f>SUM(H4:H27)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5" customWidth="1" min="3" max="3"/>
    <col width="18" customWidth="1" min="4" max="4"/>
    <col width="44" customWidth="1" min="5" max="5"/>
    <col width="36" customWidth="1" min="6" max="6"/>
    <col width="24" customWidth="1" min="7" max="7"/>
  </cols>
  <sheetData>
    <row r="1">
      <c r="A1" s="1" t="inlineStr">
        <is>
          <t>年度汇总（SUMIFS 按 Year 列；元）</t>
        </is>
      </c>
    </row>
    <row r="2">
      <c r="A2" s="9" t="inlineStr">
        <is>
          <t>Year</t>
        </is>
      </c>
      <c r="B2" s="9" t="inlineStr">
        <is>
          <t>Interest Expense</t>
        </is>
      </c>
      <c r="C2" s="9" t="inlineStr">
        <is>
          <t>Cash Payments</t>
        </is>
      </c>
      <c r="D2" s="9" t="inlineStr">
        <is>
          <t>ROU Depreciation</t>
        </is>
      </c>
      <c r="E2" s="9" t="inlineStr">
        <is>
          <t>Total P&amp;L Charge (Interest + Depreciation)</t>
        </is>
      </c>
      <c r="F2" s="9" t="inlineStr">
        <is>
          <t>Closing Lease Liability (year-end)</t>
        </is>
      </c>
      <c r="G2" s="9" t="inlineStr">
        <is>
          <t>Closing ROU (year-end)</t>
        </is>
      </c>
    </row>
    <row r="3">
      <c r="A3" s="15" t="n">
        <v>2027</v>
      </c>
      <c r="B3" s="7">
        <f>SUMIFS(Schedule!$D$4:$D$27,Schedule!$J$4:$J$27,A3)</f>
        <v/>
      </c>
      <c r="C3" s="7">
        <f>SUMIFS(Schedule!$E$4:$E$27,Schedule!$J$4:$J$27,A3)</f>
        <v/>
      </c>
      <c r="D3" s="7">
        <f>SUMIFS(Schedule!$H$4:$H$27,Schedule!$J$4:$J$27,A3)</f>
        <v/>
      </c>
      <c r="E3" s="7">
        <f>B3+D3</f>
        <v/>
      </c>
      <c r="F3" s="7">
        <f>INDEX(Schedule!$G$4:$G$27,MATCH(A3,Schedule!$J$4:$J$27,1))</f>
        <v/>
      </c>
      <c r="G3" s="7">
        <f>INDEX(Schedule!$I$4:$I$27,MATCH(A3,Schedule!$J$4:$J$27,1))</f>
        <v/>
      </c>
    </row>
    <row r="4">
      <c r="A4" s="15" t="n">
        <v>2028</v>
      </c>
      <c r="B4" s="7">
        <f>SUMIFS(Schedule!$D$4:$D$27,Schedule!$J$4:$J$27,A4)</f>
        <v/>
      </c>
      <c r="C4" s="7">
        <f>SUMIFS(Schedule!$E$4:$E$27,Schedule!$J$4:$J$27,A4)</f>
        <v/>
      </c>
      <c r="D4" s="7">
        <f>SUMIFS(Schedule!$H$4:$H$27,Schedule!$J$4:$J$27,A4)</f>
        <v/>
      </c>
      <c r="E4" s="7">
        <f>B4+D4</f>
        <v/>
      </c>
      <c r="F4" s="7">
        <f>INDEX(Schedule!$G$4:$G$27,MATCH(A4,Schedule!$J$4:$J$27,1))</f>
        <v/>
      </c>
      <c r="G4" s="7">
        <f>INDEX(Schedule!$I$4:$I$27,MATCH(A4,Schedule!$J$4:$J$27,1))</f>
        <v/>
      </c>
    </row>
    <row r="5">
      <c r="A5" s="13" t="inlineStr">
        <is>
          <t>合计</t>
        </is>
      </c>
      <c r="B5" s="16">
        <f>SUM(B3:B4)</f>
        <v/>
      </c>
      <c r="C5" s="16">
        <f>SUM(C3:C4)</f>
        <v/>
      </c>
      <c r="D5" s="16">
        <f>SUM(D3:D4)</f>
        <v/>
      </c>
      <c r="E5" s="16">
        <f>SUM(E3:E4)</f>
        <v/>
      </c>
    </row>
    <row r="6"/>
    <row r="7">
      <c r="A7" s="8" t="inlineStr">
        <is>
          <t>MATCH(...,1) 取该年度最后一行（Year 列升序）。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9" t="inlineStr">
        <is>
          <t>检查项</t>
        </is>
      </c>
      <c r="B1" s="9" t="inlineStr">
        <is>
          <t>结果</t>
        </is>
      </c>
      <c r="C1" s="9" t="inlineStr">
        <is>
          <t>差异值</t>
        </is>
      </c>
    </row>
    <row r="2">
      <c r="A2" t="inlineStr">
        <is>
          <t>第 24 月期末负债 ≈ 0（容差 1 元）</t>
        </is>
      </c>
      <c r="B2" s="17">
        <f>ABS(Schedule!G27)&lt;1</f>
        <v/>
      </c>
      <c r="C2" s="18">
        <f>Schedule!G27</f>
        <v/>
      </c>
    </row>
    <row r="3">
      <c r="A3" t="inlineStr">
        <is>
          <t>付款合计 = 初始负债 + 利息合计</t>
        </is>
      </c>
      <c r="B3" s="17">
        <f>ABS(Schedule!E28-(Assumptions!B8+Schedule!D28))&lt;1</f>
        <v/>
      </c>
      <c r="C3" s="18">
        <f>Schedule!E28-(Assumptions!B8+Schedule!D28)</f>
        <v/>
      </c>
    </row>
    <row r="4">
      <c r="A4" t="inlineStr">
        <is>
          <t>本金合计 = 初始负债</t>
        </is>
      </c>
      <c r="B4" s="17">
        <f>ABS(Schedule!F28-Assumptions!B8)&lt;1</f>
        <v/>
      </c>
      <c r="C4" s="18">
        <f>Schedule!F28-Assumptions!B8</f>
        <v/>
      </c>
    </row>
    <row r="5">
      <c r="A5" t="inlineStr">
        <is>
          <t>折旧合计 = ROU 初始值</t>
        </is>
      </c>
      <c r="B5" s="17">
        <f>ABS(Schedule!H28-Assumptions!B9)&lt;1</f>
        <v/>
      </c>
      <c r="C5" s="18">
        <f>Schedule!H28-Assumptions!B9</f>
        <v/>
      </c>
    </row>
    <row r="6">
      <c r="A6" t="inlineStr">
        <is>
          <t>第 24 月 ROU 账面 ≈ 0</t>
        </is>
      </c>
      <c r="B6" s="17">
        <f>ABS(Schedule!I27)&lt;1</f>
        <v/>
      </c>
      <c r="C6" s="18">
        <f>Schedule!I27</f>
        <v/>
      </c>
    </row>
    <row r="7">
      <c r="A7" t="inlineStr">
        <is>
          <t>(1+月率)^12 = 1.06</t>
        </is>
      </c>
      <c r="B7" s="17">
        <f>ABS((1+Assumptions!B7)^12-1.06)&lt;0.0000001</f>
        <v/>
      </c>
      <c r="C7" s="18">
        <f>(1+Assumptions!B7)^12-1.06</f>
        <v/>
      </c>
    </row>
    <row r="8">
      <c r="A8" t="inlineStr">
        <is>
          <t>年度利息合计 = 摊销表利息合计</t>
        </is>
      </c>
      <c r="B8" s="17">
        <f>ABS('Annual Summary'!B5-Schedule!D28)&lt;1</f>
        <v/>
      </c>
      <c r="C8" s="18">
        <f>'Annual Summary'!B5-Schedule!D28</f>
        <v/>
      </c>
    </row>
  </sheetData>
  <conditionalFormatting sqref="B2:B8">
    <cfRule type="cellIs" priority="1" operator="equal" dxfId="0">
      <formula>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2026-09-02T02:01:21Z</dcterms:created>
  <dcterms:modified xmlns:dcterms="http://purl.org/dc/terms/" xmlns:xsi="http://www.w3.org/2001/XMLSchema-instance" xsi:type="dcterms:W3CDTF">2026-09-02T02:01:21Z</dcterms:modified>
</cp:coreProperties>
</file>