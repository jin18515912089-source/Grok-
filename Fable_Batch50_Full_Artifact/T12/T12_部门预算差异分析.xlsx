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Dept Summary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Conclu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3"/>
    </font>
    <font>
      <name val="Microsoft YaHei"/>
      <b val="1"/>
      <color rgb="00FFFFFF"/>
    </font>
    <font>
      <b val="1"/>
    </font>
    <font>
      <name val="Microsoft YaHei"/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3" fillId="0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4" fillId="0" borderId="0" applyAlignment="1" pivotButton="0" quotePrefix="0" xfId="0">
      <alignment/>
    </xf>
    <xf numFmtId="0" fontId="0" fillId="3" borderId="0" pivotButton="0" quotePrefix="0" xfId="0"/>
    <xf numFmtId="9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9C0006"/>
      </font>
      <fill>
        <patternFill patternType="solid">
          <fgColor rgb="00F8CBAD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Variance by Department (k USD; &gt;0 = Unfavorable)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'Charts'!$A$3:$A$6</f>
            </numRef>
          </cat>
          <val>
            <numRef>
              <f>'Charts'!$B$3:$B$6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Variance Trend (k USD)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'Charts'!$A$10:$A$12</f>
            </numRef>
          </cat>
          <val>
            <numRef>
              <f>'Charts'!$B$10:$B$12</f>
            </numRef>
          </val>
        </ser>
        <ser>
          <idx val="1"/>
          <order val="1"/>
          <tx>
            <strRef>
              <f>'Charts'!C9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'Charts'!$A$10:$A$12</f>
            </numRef>
          </cat>
          <val>
            <numRef>
              <f>'Charts'!$C$10:$C$12</f>
            </numRef>
          </val>
        </ser>
        <ser>
          <idx val="2"/>
          <order val="2"/>
          <tx>
            <strRef>
              <f>'Charts'!D9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'Charts'!$A$10:$A$12</f>
            </numRef>
          </cat>
          <val>
            <numRef>
              <f>'Charts'!$D$10:$D$12</f>
            </numRef>
          </val>
        </ser>
        <ser>
          <idx val="3"/>
          <order val="3"/>
          <tx>
            <strRef>
              <f>'Charts'!E9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'Charts'!$A$10:$A$12</f>
            </numRef>
          </cat>
          <val>
            <numRef>
              <f>'Charts'!$E$10:$E$12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Q1 月度预算与实际（千美元）；差异 = Actual − Budget；正数 = Unfavorable（费用超支）</t>
        </is>
      </c>
    </row>
    <row r="2">
      <c r="A2" s="2" t="inlineStr">
        <is>
          <t>Department</t>
        </is>
      </c>
      <c r="B2" s="2" t="inlineStr">
        <is>
          <t>Jan Budget</t>
        </is>
      </c>
      <c r="C2" s="2" t="inlineStr">
        <is>
          <t>Jan Actual</t>
        </is>
      </c>
      <c r="D2" s="2" t="inlineStr">
        <is>
          <t>Jan Var</t>
        </is>
      </c>
      <c r="E2" s="2" t="inlineStr">
        <is>
          <t>Feb Budget</t>
        </is>
      </c>
      <c r="F2" s="2" t="inlineStr">
        <is>
          <t>Feb Actual</t>
        </is>
      </c>
      <c r="G2" s="2" t="inlineStr">
        <is>
          <t>Feb Var</t>
        </is>
      </c>
      <c r="H2" s="2" t="inlineStr">
        <is>
          <t>Mar Budget</t>
        </is>
      </c>
      <c r="I2" s="2" t="inlineStr">
        <is>
          <t>Mar Actual</t>
        </is>
      </c>
      <c r="J2" s="2" t="inlineStr">
        <is>
          <t>Mar Var</t>
        </is>
      </c>
      <c r="K2" s="2" t="inlineStr">
        <is>
          <t>Q1 Budget</t>
        </is>
      </c>
      <c r="L2" s="2" t="inlineStr">
        <is>
          <t>Q1 Actual</t>
        </is>
      </c>
      <c r="M2" s="2" t="inlineStr">
        <is>
          <t>Q1 Var</t>
        </is>
      </c>
      <c r="N2" s="2" t="inlineStr">
        <is>
          <t>Q1 Var %</t>
        </is>
      </c>
      <c r="O2" s="2" t="inlineStr">
        <is>
          <t>Status</t>
        </is>
      </c>
      <c r="P2" s="2" t="inlineStr">
        <is>
          <t>Flag</t>
        </is>
      </c>
    </row>
    <row r="3">
      <c r="A3" s="3" t="inlineStr">
        <is>
          <t>Marketing</t>
        </is>
      </c>
      <c r="B3" s="3" t="n">
        <v>100</v>
      </c>
      <c r="C3" s="3" t="n">
        <v>105</v>
      </c>
      <c r="D3" s="4">
        <f>C3-B3</f>
        <v/>
      </c>
      <c r="E3" s="3" t="n">
        <v>110</v>
      </c>
      <c r="F3" s="3" t="n">
        <v>98</v>
      </c>
      <c r="G3" s="4">
        <f>F3-E3</f>
        <v/>
      </c>
      <c r="H3" s="3" t="n">
        <v>120</v>
      </c>
      <c r="I3" s="3" t="n">
        <v>150</v>
      </c>
      <c r="J3" s="4">
        <f>I3-H3</f>
        <v/>
      </c>
      <c r="K3" s="4">
        <f>B3+E3+H3</f>
        <v/>
      </c>
      <c r="L3" s="4">
        <f>C3+F3+I3</f>
        <v/>
      </c>
      <c r="M3" s="4">
        <f>L3-K3</f>
        <v/>
      </c>
      <c r="N3" s="5">
        <f>IF(K3=0,0,M3/K3)</f>
        <v/>
      </c>
      <c r="O3" s="4">
        <f>IF(M3&gt;0,"Unfavorable",IF(M3&lt;0,"Favorable","On budget"))</f>
        <v/>
      </c>
      <c r="P3" s="4">
        <f>IF(AND(M3&gt;0,OR(M3&gt;20,N3&gt;0.05)),"RED",IF(M3&lt;0,"GREEN","WATCH"))</f>
        <v/>
      </c>
    </row>
    <row r="4">
      <c r="A4" s="3" t="inlineStr">
        <is>
          <t>R&amp;D</t>
        </is>
      </c>
      <c r="B4" s="3" t="n">
        <v>200</v>
      </c>
      <c r="C4" s="3" t="n">
        <v>190</v>
      </c>
      <c r="D4" s="4">
        <f>C4-B4</f>
        <v/>
      </c>
      <c r="E4" s="3" t="n">
        <v>210</v>
      </c>
      <c r="F4" s="3" t="n">
        <v>230</v>
      </c>
      <c r="G4" s="4">
        <f>F4-E4</f>
        <v/>
      </c>
      <c r="H4" s="3" t="n">
        <v>220</v>
      </c>
      <c r="I4" s="3" t="n">
        <v>250</v>
      </c>
      <c r="J4" s="4">
        <f>I4-H4</f>
        <v/>
      </c>
      <c r="K4" s="4">
        <f>B4+E4+H4</f>
        <v/>
      </c>
      <c r="L4" s="4">
        <f>C4+F4+I4</f>
        <v/>
      </c>
      <c r="M4" s="4">
        <f>L4-K4</f>
        <v/>
      </c>
      <c r="N4" s="5">
        <f>IF(K4=0,0,M4/K4)</f>
        <v/>
      </c>
      <c r="O4" s="4">
        <f>IF(M4&gt;0,"Unfavorable",IF(M4&lt;0,"Favorable","On budget"))</f>
        <v/>
      </c>
      <c r="P4" s="4">
        <f>IF(AND(M4&gt;0,OR(M4&gt;20,N4&gt;0.05)),"RED",IF(M4&lt;0,"GREEN","WATCH"))</f>
        <v/>
      </c>
    </row>
    <row r="5">
      <c r="A5" s="3" t="inlineStr">
        <is>
          <t>G&amp;A</t>
        </is>
      </c>
      <c r="B5" s="3" t="n">
        <v>80</v>
      </c>
      <c r="C5" s="3" t="n">
        <v>78</v>
      </c>
      <c r="D5" s="4">
        <f>C5-B5</f>
        <v/>
      </c>
      <c r="E5" s="3" t="n">
        <v>80</v>
      </c>
      <c r="F5" s="3" t="n">
        <v>82</v>
      </c>
      <c r="G5" s="4">
        <f>F5-E5</f>
        <v/>
      </c>
      <c r="H5" s="3" t="n">
        <v>85</v>
      </c>
      <c r="I5" s="3" t="n">
        <v>80</v>
      </c>
      <c r="J5" s="4">
        <f>I5-H5</f>
        <v/>
      </c>
      <c r="K5" s="4">
        <f>B5+E5+H5</f>
        <v/>
      </c>
      <c r="L5" s="4">
        <f>C5+F5+I5</f>
        <v/>
      </c>
      <c r="M5" s="4">
        <f>L5-K5</f>
        <v/>
      </c>
      <c r="N5" s="5">
        <f>IF(K5=0,0,M5/K5)</f>
        <v/>
      </c>
      <c r="O5" s="4">
        <f>IF(M5&gt;0,"Unfavorable",IF(M5&lt;0,"Favorable","On budget"))</f>
        <v/>
      </c>
      <c r="P5" s="4">
        <f>IF(AND(M5&gt;0,OR(M5&gt;20,N5&gt;0.05)),"RED",IF(M5&lt;0,"GREEN","WATCH"))</f>
        <v/>
      </c>
    </row>
    <row r="6">
      <c r="A6" s="3" t="inlineStr">
        <is>
          <t>Sales</t>
        </is>
      </c>
      <c r="B6" s="3" t="n">
        <v>150</v>
      </c>
      <c r="C6" s="3" t="n">
        <v>145</v>
      </c>
      <c r="D6" s="4">
        <f>C6-B6</f>
        <v/>
      </c>
      <c r="E6" s="3" t="n">
        <v>160</v>
      </c>
      <c r="F6" s="3" t="n">
        <v>175</v>
      </c>
      <c r="G6" s="4">
        <f>F6-E6</f>
        <v/>
      </c>
      <c r="H6" s="3" t="n">
        <v>170</v>
      </c>
      <c r="I6" s="3" t="n">
        <v>185</v>
      </c>
      <c r="J6" s="4">
        <f>I6-H6</f>
        <v/>
      </c>
      <c r="K6" s="4">
        <f>B6+E6+H6</f>
        <v/>
      </c>
      <c r="L6" s="4">
        <f>C6+F6+I6</f>
        <v/>
      </c>
      <c r="M6" s="4">
        <f>L6-K6</f>
        <v/>
      </c>
      <c r="N6" s="5">
        <f>IF(K6=0,0,M6/K6)</f>
        <v/>
      </c>
      <c r="O6" s="4">
        <f>IF(M6&gt;0,"Unfavorable",IF(M6&lt;0,"Favorable","On budget"))</f>
        <v/>
      </c>
      <c r="P6" s="4">
        <f>IF(AND(M6&gt;0,OR(M6&gt;20,N6&gt;0.05)),"RED",IF(M6&lt;0,"GREEN","WATCH"))</f>
        <v/>
      </c>
    </row>
    <row r="7">
      <c r="A7" s="6" t="inlineStr">
        <is>
          <t>Total</t>
        </is>
      </c>
      <c r="B7" s="7">
        <f>SUM(B3:B6)</f>
        <v/>
      </c>
      <c r="C7" s="7">
        <f>SUM(C3:C6)</f>
        <v/>
      </c>
      <c r="D7" s="7">
        <f>SUM(D3:D6)</f>
        <v/>
      </c>
      <c r="E7" s="7">
        <f>SUM(E3:E6)</f>
        <v/>
      </c>
      <c r="F7" s="7">
        <f>SUM(F3:F6)</f>
        <v/>
      </c>
      <c r="G7" s="7">
        <f>SUM(G3:G6)</f>
        <v/>
      </c>
      <c r="H7" s="7">
        <f>SUM(H3:H6)</f>
        <v/>
      </c>
      <c r="I7" s="7">
        <f>SUM(I3:I6)</f>
        <v/>
      </c>
      <c r="J7" s="7">
        <f>SUM(J3:J6)</f>
        <v/>
      </c>
      <c r="K7" s="7">
        <f>SUM(K3:K6)</f>
        <v/>
      </c>
      <c r="L7" s="7">
        <f>SUM(L3:L6)</f>
        <v/>
      </c>
      <c r="M7" s="7">
        <f>SUM(M3:M6)</f>
        <v/>
      </c>
      <c r="N7" s="8">
        <f>IF(K7=0,0,M7/K7)</f>
        <v/>
      </c>
      <c r="O7">
        <f>IF(M7&gt;0,"Unfavorable",IF(M7&lt;0,"Favorable","On budget"))</f>
        <v/>
      </c>
    </row>
    <row r="8"/>
    <row r="9">
      <c r="A9" s="9" t="inlineStr">
        <is>
          <t>阈值（管理层）：季度不利差异 &gt; 20 千美元 或 差异率 &gt; 5% → RED；有利差异 → GREEN；差异率 = Q1 Var / Q1 Budget（总预算作分母）。黄色=输入，绿色=公式。</t>
        </is>
      </c>
    </row>
    <row r="10">
      <c r="A10" t="inlineStr">
        <is>
          <t>阈值-金额</t>
        </is>
      </c>
      <c r="B10" s="10" t="n">
        <v>20</v>
      </c>
    </row>
    <row r="11">
      <c r="A11" t="inlineStr">
        <is>
          <t>阈值-差异率</t>
        </is>
      </c>
      <c r="B11" s="11" t="n">
        <v>0.05</v>
      </c>
    </row>
  </sheetData>
  <conditionalFormatting sqref="P3:P6">
    <cfRule type="cellIs" priority="1" operator="equal" dxfId="0">
      <formula>"RED"</formula>
    </cfRule>
    <cfRule type="cellIs" priority="2" operator="equal" dxfId="1">
      <formula>"GREEN"</formula>
    </cfRule>
  </conditionalFormatting>
  <conditionalFormatting sqref="D3:D7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G3:G7">
    <cfRule type="cellIs" priority="5" operator="greaterThan" dxfId="2">
      <formula>0</formula>
    </cfRule>
    <cfRule type="cellIs" priority="6" operator="lessThan" dxfId="3">
      <formula>0</formula>
    </cfRule>
  </conditionalFormatting>
  <conditionalFormatting sqref="J3:J7">
    <cfRule type="cellIs" priority="7" operator="greaterThan" dxfId="2">
      <formula>0</formula>
    </cfRule>
    <cfRule type="cellIs" priority="8" operator="lessThan" dxfId="3">
      <formula>0</formula>
    </cfRule>
  </conditionalFormatting>
  <conditionalFormatting sqref="M3:M7">
    <cfRule type="cellIs" priority="9" operator="greaterThan" dxfId="2">
      <formula>0</formula>
    </cfRule>
    <cfRule type="cellIs" priority="10" operator="lessThan" dxfId="3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</cols>
  <sheetData>
    <row r="1">
      <c r="A1" s="1" t="inlineStr">
        <is>
          <t>部门季度汇总（引用 Detail）</t>
        </is>
      </c>
    </row>
    <row r="2">
      <c r="A2" s="2" t="inlineStr">
        <is>
          <t>Department</t>
        </is>
      </c>
      <c r="B2" s="2" t="inlineStr">
        <is>
          <t>Q1 Budget</t>
        </is>
      </c>
      <c r="C2" s="2" t="inlineStr">
        <is>
          <t>Q1 Actual</t>
        </is>
      </c>
      <c r="D2" s="2" t="inlineStr">
        <is>
          <t>Variance (A−B)</t>
        </is>
      </c>
      <c r="E2" s="2" t="inlineStr">
        <is>
          <t>Variance %</t>
        </is>
      </c>
      <c r="F2" s="2" t="inlineStr">
        <is>
          <t>Fav/Unfav</t>
        </is>
      </c>
      <c r="G2" s="2" t="inlineStr">
        <is>
          <t>Flag</t>
        </is>
      </c>
      <c r="H2" s="2" t="inlineStr">
        <is>
          <t>Jan Cum Var</t>
        </is>
      </c>
      <c r="I2" s="2" t="inlineStr">
        <is>
          <t>Feb Cum Var</t>
        </is>
      </c>
      <c r="J2" s="2" t="inlineStr">
        <is>
          <t>Mar Cum Var (=Q1)</t>
        </is>
      </c>
    </row>
    <row r="3">
      <c r="A3" s="4">
        <f>Detail!A3</f>
        <v/>
      </c>
      <c r="B3" s="4">
        <f>Detail!K3</f>
        <v/>
      </c>
      <c r="C3" s="4">
        <f>Detail!L3</f>
        <v/>
      </c>
      <c r="D3" s="4">
        <f>Detail!M3</f>
        <v/>
      </c>
      <c r="E3" s="5">
        <f>Detail!N3</f>
        <v/>
      </c>
      <c r="F3" s="4">
        <f>Detail!O3</f>
        <v/>
      </c>
      <c r="G3" s="4">
        <f>Detail!P3</f>
        <v/>
      </c>
      <c r="H3" s="4">
        <f>Detail!D3</f>
        <v/>
      </c>
      <c r="I3" s="4">
        <f>Detail!D3+Detail!G3</f>
        <v/>
      </c>
      <c r="J3" s="4">
        <f>Detail!D3+Detail!G3+Detail!J3</f>
        <v/>
      </c>
    </row>
    <row r="4">
      <c r="A4" s="4">
        <f>Detail!A4</f>
        <v/>
      </c>
      <c r="B4" s="4">
        <f>Detail!K4</f>
        <v/>
      </c>
      <c r="C4" s="4">
        <f>Detail!L4</f>
        <v/>
      </c>
      <c r="D4" s="4">
        <f>Detail!M4</f>
        <v/>
      </c>
      <c r="E4" s="5">
        <f>Detail!N4</f>
        <v/>
      </c>
      <c r="F4" s="4">
        <f>Detail!O4</f>
        <v/>
      </c>
      <c r="G4" s="4">
        <f>Detail!P4</f>
        <v/>
      </c>
      <c r="H4" s="4">
        <f>Detail!D4</f>
        <v/>
      </c>
      <c r="I4" s="4">
        <f>Detail!D4+Detail!G4</f>
        <v/>
      </c>
      <c r="J4" s="4">
        <f>Detail!D4+Detail!G4+Detail!J4</f>
        <v/>
      </c>
    </row>
    <row r="5">
      <c r="A5" s="4">
        <f>Detail!A5</f>
        <v/>
      </c>
      <c r="B5" s="4">
        <f>Detail!K5</f>
        <v/>
      </c>
      <c r="C5" s="4">
        <f>Detail!L5</f>
        <v/>
      </c>
      <c r="D5" s="4">
        <f>Detail!M5</f>
        <v/>
      </c>
      <c r="E5" s="5">
        <f>Detail!N5</f>
        <v/>
      </c>
      <c r="F5" s="4">
        <f>Detail!O5</f>
        <v/>
      </c>
      <c r="G5" s="4">
        <f>Detail!P5</f>
        <v/>
      </c>
      <c r="H5" s="4">
        <f>Detail!D5</f>
        <v/>
      </c>
      <c r="I5" s="4">
        <f>Detail!D5+Detail!G5</f>
        <v/>
      </c>
      <c r="J5" s="4">
        <f>Detail!D5+Detail!G5+Detail!J5</f>
        <v/>
      </c>
    </row>
    <row r="6">
      <c r="A6" s="4">
        <f>Detail!A6</f>
        <v/>
      </c>
      <c r="B6" s="4">
        <f>Detail!K6</f>
        <v/>
      </c>
      <c r="C6" s="4">
        <f>Detail!L6</f>
        <v/>
      </c>
      <c r="D6" s="4">
        <f>Detail!M6</f>
        <v/>
      </c>
      <c r="E6" s="5">
        <f>Detail!N6</f>
        <v/>
      </c>
      <c r="F6" s="4">
        <f>Detail!O6</f>
        <v/>
      </c>
      <c r="G6" s="4">
        <f>Detail!P6</f>
        <v/>
      </c>
      <c r="H6" s="4">
        <f>Detail!D6</f>
        <v/>
      </c>
      <c r="I6" s="4">
        <f>Detail!D6+Detail!G6</f>
        <v/>
      </c>
      <c r="J6" s="4">
        <f>Detail!D6+Detail!G6+Detail!J6</f>
        <v/>
      </c>
    </row>
    <row r="7">
      <c r="A7" s="6" t="inlineStr">
        <is>
          <t>Total</t>
        </is>
      </c>
      <c r="B7" s="7">
        <f>SUM(B3:B6)</f>
        <v/>
      </c>
      <c r="C7" s="7">
        <f>SUM(C3:C6)</f>
        <v/>
      </c>
      <c r="D7" s="7">
        <f>SUM(D3:D6)</f>
        <v/>
      </c>
      <c r="E7" s="8">
        <f>IF(B7=0,0,D7/B7)</f>
        <v/>
      </c>
      <c r="H7" s="7">
        <f>SUM(H3:H6)</f>
        <v/>
      </c>
      <c r="I7" s="7">
        <f>SUM(I3:I6)</f>
        <v/>
      </c>
      <c r="J7" s="7">
        <f>SUM(J3:J6)</f>
        <v/>
      </c>
    </row>
    <row r="8">
      <c r="A8" t="inlineStr">
        <is>
          <t>Check: Total Var − Detail!M7</t>
        </is>
      </c>
      <c r="D8">
        <f>D7-Detail!M7</f>
        <v/>
      </c>
    </row>
  </sheetData>
  <conditionalFormatting sqref="G3:G6">
    <cfRule type="cellIs" priority="1" operator="equal" dxfId="0">
      <formula>"RED"</formula>
    </cfRule>
    <cfRule type="cellIs" priority="2" operator="equal" dxfId="1">
      <formula>"GREEN"</formula>
    </cfRule>
  </conditionalFormatting>
  <conditionalFormatting sqref="D3:D7">
    <cfRule type="cellIs" priority="3" operator="greaterThan" dxfId="2">
      <formula>0</formula>
    </cfRule>
    <cfRule type="cellIs" priority="4" operator="lessThan" dxfId="3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管理图表（数据源：Dept Summary / Detail，均为公式）</t>
        </is>
      </c>
    </row>
    <row r="2">
      <c r="A2" s="2" t="inlineStr">
        <is>
          <t>Department</t>
        </is>
      </c>
      <c r="B2" s="2" t="inlineStr">
        <is>
          <t>Q1 Variance</t>
        </is>
      </c>
      <c r="C2" s="2" t="inlineStr">
        <is>
          <t>Jan Cum</t>
        </is>
      </c>
      <c r="D2" s="2" t="inlineStr">
        <is>
          <t>Feb Cum</t>
        </is>
      </c>
      <c r="E2" s="2" t="inlineStr">
        <is>
          <t>Mar Cum</t>
        </is>
      </c>
    </row>
    <row r="3">
      <c r="A3" s="7">
        <f>'Dept Summary'!A3</f>
        <v/>
      </c>
      <c r="B3" s="7">
        <f>'Dept Summary'!D3</f>
        <v/>
      </c>
      <c r="C3" s="7">
        <f>'Dept Summary'!H3</f>
        <v/>
      </c>
      <c r="D3" s="7">
        <f>'Dept Summary'!I3</f>
        <v/>
      </c>
      <c r="E3" s="7">
        <f>'Dept Summary'!J3</f>
        <v/>
      </c>
    </row>
    <row r="4">
      <c r="A4" s="7">
        <f>'Dept Summary'!A4</f>
        <v/>
      </c>
      <c r="B4" s="7">
        <f>'Dept Summary'!D4</f>
        <v/>
      </c>
      <c r="C4" s="7">
        <f>'Dept Summary'!H4</f>
        <v/>
      </c>
      <c r="D4" s="7">
        <f>'Dept Summary'!I4</f>
        <v/>
      </c>
      <c r="E4" s="7">
        <f>'Dept Summary'!J4</f>
        <v/>
      </c>
    </row>
    <row r="5">
      <c r="A5" s="7">
        <f>'Dept Summary'!A5</f>
        <v/>
      </c>
      <c r="B5" s="7">
        <f>'Dept Summary'!D5</f>
        <v/>
      </c>
      <c r="C5" s="7">
        <f>'Dept Summary'!H5</f>
        <v/>
      </c>
      <c r="D5" s="7">
        <f>'Dept Summary'!I5</f>
        <v/>
      </c>
      <c r="E5" s="7">
        <f>'Dept Summary'!J5</f>
        <v/>
      </c>
    </row>
    <row r="6">
      <c r="A6" s="7">
        <f>'Dept Summary'!A6</f>
        <v/>
      </c>
      <c r="B6" s="7">
        <f>'Dept Summary'!D6</f>
        <v/>
      </c>
      <c r="C6" s="7">
        <f>'Dept Summary'!H6</f>
        <v/>
      </c>
      <c r="D6" s="7">
        <f>'Dept Summary'!I6</f>
        <v/>
      </c>
      <c r="E6" s="7">
        <f>'Dept Summary'!J6</f>
        <v/>
      </c>
    </row>
    <row r="7"/>
    <row r="8"/>
    <row r="9">
      <c r="A9" s="2" t="inlineStr">
        <is>
          <t>Month</t>
        </is>
      </c>
      <c r="B9" s="2" t="inlineStr">
        <is>
          <t>Marketing</t>
        </is>
      </c>
      <c r="C9" s="2" t="inlineStr">
        <is>
          <t>R&amp;D</t>
        </is>
      </c>
      <c r="D9" s="2" t="inlineStr">
        <is>
          <t>G&amp;A</t>
        </is>
      </c>
      <c r="E9" s="2" t="inlineStr">
        <is>
          <t>Sales</t>
        </is>
      </c>
    </row>
    <row r="10">
      <c r="A10" t="inlineStr">
        <is>
          <t>Jan</t>
        </is>
      </c>
      <c r="B10" s="7">
        <f>C3</f>
        <v/>
      </c>
      <c r="C10" s="7">
        <f>C4</f>
        <v/>
      </c>
      <c r="D10" s="7">
        <f>C5</f>
        <v/>
      </c>
      <c r="E10" s="7">
        <f>C6</f>
        <v/>
      </c>
    </row>
    <row r="11">
      <c r="A11" t="inlineStr">
        <is>
          <t>Feb</t>
        </is>
      </c>
      <c r="B11" s="7">
        <f>D3</f>
        <v/>
      </c>
      <c r="C11" s="7">
        <f>D4</f>
        <v/>
      </c>
      <c r="D11" s="7">
        <f>D5</f>
        <v/>
      </c>
      <c r="E11" s="7">
        <f>D6</f>
        <v/>
      </c>
    </row>
    <row r="12">
      <c r="A12" t="inlineStr">
        <is>
          <t>Mar</t>
        </is>
      </c>
      <c r="B12" s="7">
        <f>E3</f>
        <v/>
      </c>
      <c r="C12" s="7">
        <f>E4</f>
        <v/>
      </c>
      <c r="D12" s="7">
        <f>E5</f>
        <v/>
      </c>
      <c r="E12" s="7">
        <f>E6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三条管理结论（基于 Detail/Dept Summary 的公式结果）</t>
        </is>
      </c>
    </row>
    <row r="3" ht="48" customHeight="1">
      <c r="A3" s="12" t="inlineStr">
        <is>
          <t>1. Q1 总费用 1,768 千美元，超预算 83 千美元（+4.9%）；三个部门（Marketing、R&amp;D、Sales）同时触发 RED 标记，仅 G&amp;A 有利（−5，−2.0%）。</t>
        </is>
      </c>
    </row>
    <row r="4" ht="48" customHeight="1">
      <c r="A4" s="12" t="inlineStr">
        <is>
          <t>2. R&amp;D 是最大不利差异来源：+40 千美元（+6.3%），且逐月恶化（−10 → +20 → +30），累计差异从 1 月的有利转为 3 月的显著不利，需要在 4 月前确认是计划外项目还是提前投入。</t>
        </is>
      </c>
    </row>
    <row r="5" ht="48" customHeight="1">
      <c r="A5" s="12" t="inlineStr">
        <is>
          <t>3. Marketing 3 月单月超支 30 千美元（+25%），使季度差异达 +23（+7.0%）成为差异率最高的部门；Sales +25（+5.2%）刚越过 5% 阈值，2–3 月连续超支 15，应核对是否与收入增长挂钩（题内无收入数据，待确认）。</t>
        </is>
      </c>
    </row>
    <row r="7">
      <c r="A7" t="inlineStr">
        <is>
          <t>公式引用核对：</t>
        </is>
      </c>
    </row>
    <row r="8">
      <c r="A8" t="inlineStr">
        <is>
          <t>总差异 ='Dept Summary'!D7 →</t>
        </is>
      </c>
      <c r="B8">
        <f>'Dept Summary'!D7</f>
        <v/>
      </c>
    </row>
    <row r="9">
      <c r="A9" t="inlineStr">
        <is>
          <t>总差异率 ='Dept Summary'!E7 →</t>
        </is>
      </c>
      <c r="B9" s="8">
        <f>'Dept Summary'!E7</f>
        <v/>
      </c>
    </row>
    <row r="10">
      <c r="A10" t="inlineStr">
        <is>
          <t>RED 部门数 →</t>
        </is>
      </c>
      <c r="B10">
        <f>COUNTIF('Dept Summary'!G3:G6,"RED")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2026-09-02T02:01:20Z</dcterms:created>
  <dcterms:modified xmlns:dcterms="http://purl.org/dc/terms/" xmlns:xsi="http://www.w3.org/2001/XMLSchema-instance" xsi:type="dcterms:W3CDTF">2026-09-02T02:01:20Z</dcterms:modified>
</cp:coreProperties>
</file>