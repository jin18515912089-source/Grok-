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puts" sheetId="1" state="visible" r:id="rId1"/>
    <sheet xmlns:r="http://schemas.openxmlformats.org/officeDocument/2006/relationships" name="NPV" sheetId="2" state="visible" r:id="rId2"/>
    <sheet xmlns:r="http://schemas.openxmlformats.org/officeDocument/2006/relationships" name="Sensitivity" sheetId="3" state="visible" r:id="rId3"/>
    <sheet xmlns:r="http://schemas.openxmlformats.org/officeDocument/2006/relationships" name="Recommendation" sheetId="4" state="visible" r:id="rId4"/>
  </sheets>
  <definedNames/>
  <calcPr calcId="124519" fullCalcOnLoad="1"/>
</workbook>
</file>

<file path=xl/styles.xml><?xml version="1.0" encoding="utf-8"?>
<styleSheet xmlns="http://schemas.openxmlformats.org/spreadsheetml/2006/main">
  <numFmts count="2">
    <numFmt numFmtId="164" formatCode="0.0000"/>
    <numFmt numFmtId="165" formatCode="#,##0.0"/>
  </numFmts>
  <fonts count="5">
    <font>
      <name val="Calibri"/>
      <family val="2"/>
      <color theme="1"/>
      <sz val="11"/>
      <scheme val="minor"/>
    </font>
    <font>
      <name val="Microsoft YaHei"/>
      <b val="1"/>
      <color rgb="001F3864"/>
      <sz val="13"/>
    </font>
    <font>
      <name val="Microsoft YaHei"/>
      <b val="1"/>
      <color rgb="00FFFFFF"/>
    </font>
    <font>
      <b val="1"/>
    </font>
    <font>
      <b val="1"/>
      <sz val="13"/>
    </font>
  </fonts>
  <fills count="5">
    <fill>
      <patternFill/>
    </fill>
    <fill>
      <patternFill patternType="gray125"/>
    </fill>
    <fill>
      <patternFill patternType="solid">
        <fgColor rgb="00FFF2CC"/>
      </patternFill>
    </fill>
    <fill>
      <patternFill patternType="solid">
        <fgColor rgb="001F3864"/>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6">
    <xf numFmtId="0" fontId="0" fillId="0" borderId="0" pivotButton="0" quotePrefix="0" xfId="0"/>
    <xf numFmtId="0" fontId="1" fillId="0" borderId="0" pivotButton="0" quotePrefix="0" xfId="0"/>
    <xf numFmtId="9" fontId="0" fillId="2" borderId="0" pivotButton="0" quotePrefix="0" xfId="0"/>
    <xf numFmtId="0" fontId="2" fillId="3" borderId="1" applyAlignment="1" pivotButton="0" quotePrefix="0" xfId="0">
      <alignment horizontal="center" vertical="center" wrapText="1"/>
    </xf>
    <xf numFmtId="0" fontId="0" fillId="0" borderId="1" pivotButton="0" quotePrefix="0" xfId="0"/>
    <xf numFmtId="0" fontId="0" fillId="2" borderId="1" pivotButton="0" quotePrefix="0" xfId="0"/>
    <xf numFmtId="164" fontId="0" fillId="4" borderId="1" pivotButton="0" quotePrefix="0" xfId="0"/>
    <xf numFmtId="165" fontId="0" fillId="4" borderId="1" pivotButton="0" quotePrefix="0" xfId="0"/>
    <xf numFmtId="0" fontId="0" fillId="4" borderId="1" pivotButton="0" quotePrefix="0" xfId="0"/>
    <xf numFmtId="0" fontId="3" fillId="0" borderId="0" pivotButton="0" quotePrefix="0" xfId="0"/>
    <xf numFmtId="165" fontId="0" fillId="4" borderId="0" pivotButton="0" quotePrefix="0" xfId="0"/>
    <xf numFmtId="0" fontId="0" fillId="4" borderId="0" pivotButton="0" quotePrefix="0" xfId="0"/>
    <xf numFmtId="0" fontId="0" fillId="2" borderId="0" pivotButton="0" quotePrefix="0" xfId="0"/>
    <xf numFmtId="164" fontId="0" fillId="4" borderId="0" pivotButton="0" quotePrefix="0" xfId="0"/>
    <xf numFmtId="0" fontId="4"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三年 TCO：NPV vs 名义（千美元）</a:t>
            </a:r>
          </a:p>
        </rich>
      </tx>
    </title>
    <plotArea>
      <barChart>
        <barDir val="col"/>
        <grouping val="clustered"/>
        <ser>
          <idx val="0"/>
          <order val="0"/>
          <tx>
            <strRef>
              <f>'NPV'!B15</f>
            </strRef>
          </tx>
          <spPr>
            <a:ln xmlns:a="http://schemas.openxmlformats.org/drawingml/2006/main">
              <a:prstDash val="solid"/>
            </a:ln>
          </spPr>
          <cat>
            <numRef>
              <f>'NPV'!$A$16:$A$18</f>
            </numRef>
          </cat>
          <val>
            <numRef>
              <f>'NPV'!$B$16:$B$18</f>
            </numRef>
          </val>
        </ser>
        <ser>
          <idx val="1"/>
          <order val="1"/>
          <tx>
            <strRef>
              <f>'NPV'!C15</f>
            </strRef>
          </tx>
          <spPr>
            <a:ln xmlns:a="http://schemas.openxmlformats.org/drawingml/2006/main">
              <a:prstDash val="solid"/>
            </a:ln>
          </spPr>
          <cat>
            <numRef>
              <f>'NPV'!$A$16:$A$18</f>
            </numRef>
          </cat>
          <val>
            <numRef>
              <f>'NPV'!$C$16:$C$18</f>
            </numRef>
          </val>
        </ser>
        <gapWidth val="150"/>
        <axId val="10"/>
        <axId val="100"/>
      </barChart>
      <catAx>
        <axId val="10"/>
        <scaling>
          <orientation val="minMax"/>
        </scaling>
        <axPos val="l"/>
        <majorTickMark val="none"/>
        <minorTickMark val="none"/>
        <crossAx val="100"/>
        <lblOffset val="100"/>
      </catAx>
      <valAx>
        <axId val="100"/>
        <scaling>
          <orientation val="minMax"/>
          <min val="0"/>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9</col>
      <colOff>0</colOff>
      <row>1</row>
      <rowOff>0</rowOff>
    </from>
    <ext cx="504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31" customWidth="1" min="1" max="1"/>
    <col width="10" customWidth="1" min="2" max="2"/>
    <col width="10" customWidth="1" min="3" max="3"/>
    <col width="10" customWidth="1" min="4" max="4"/>
    <col width="15" customWidth="1" min="5" max="5"/>
  </cols>
  <sheetData>
    <row r="1">
      <c r="A1" s="1" t="inlineStr">
        <is>
          <t>成本输入（千美元；黄色=输入）</t>
        </is>
      </c>
    </row>
    <row r="2">
      <c r="A2" t="inlineStr">
        <is>
          <t>折现率</t>
        </is>
      </c>
      <c r="B2" s="2" t="n">
        <v>0.08</v>
      </c>
    </row>
    <row r="3"/>
    <row r="4">
      <c r="A4" s="3" t="inlineStr">
        <is>
          <t>项目</t>
        </is>
      </c>
      <c r="B4" s="3" t="inlineStr">
        <is>
          <t>Vendor A</t>
        </is>
      </c>
      <c r="C4" s="3" t="inlineStr">
        <is>
          <t>Vendor B</t>
        </is>
      </c>
      <c r="D4" s="3" t="inlineStr">
        <is>
          <t>Vendor C</t>
        </is>
      </c>
      <c r="E4" s="3" t="inlineStr">
        <is>
          <t>时点</t>
        </is>
      </c>
    </row>
    <row r="5">
      <c r="A5" s="4" t="inlineStr">
        <is>
          <t>实施 (t0)</t>
        </is>
      </c>
      <c r="B5" s="5" t="n">
        <v>220</v>
      </c>
      <c r="C5" s="5" t="n">
        <v>150</v>
      </c>
      <c r="D5" s="5" t="n">
        <v>300</v>
      </c>
      <c r="E5" s="4" t="inlineStr">
        <is>
          <t>t=0</t>
        </is>
      </c>
    </row>
    <row r="6">
      <c r="A6" s="4" t="inlineStr">
        <is>
          <t>培训 (t0)</t>
        </is>
      </c>
      <c r="B6" s="5" t="n">
        <v>60</v>
      </c>
      <c r="C6" s="5" t="n">
        <v>90</v>
      </c>
      <c r="D6" s="5" t="n">
        <v>40</v>
      </c>
      <c r="E6" s="4" t="inlineStr">
        <is>
          <t>t=0</t>
        </is>
      </c>
    </row>
    <row r="7">
      <c r="A7" s="4" t="inlineStr">
        <is>
          <t>Y1 许可</t>
        </is>
      </c>
      <c r="B7" s="5" t="n">
        <v>380</v>
      </c>
      <c r="C7" s="5" t="n">
        <v>300</v>
      </c>
      <c r="D7" s="5" t="n">
        <v>450</v>
      </c>
      <c r="E7" s="4" t="inlineStr">
        <is>
          <t>Y1 末</t>
        </is>
      </c>
    </row>
    <row r="8">
      <c r="A8" s="4" t="inlineStr">
        <is>
          <t>Y2 许可</t>
        </is>
      </c>
      <c r="B8" s="5" t="n">
        <v>380</v>
      </c>
      <c r="C8" s="5" t="n">
        <v>315</v>
      </c>
      <c r="D8" s="5" t="n">
        <v>450</v>
      </c>
      <c r="E8" s="4" t="inlineStr">
        <is>
          <t>Y2 末</t>
        </is>
      </c>
    </row>
    <row r="9">
      <c r="A9" s="4" t="inlineStr">
        <is>
          <t>Y3 许可</t>
        </is>
      </c>
      <c r="B9" s="5" t="n">
        <v>380</v>
      </c>
      <c r="C9" s="5" t="n">
        <v>331</v>
      </c>
      <c r="D9" s="5" t="n">
        <v>450</v>
      </c>
      <c r="E9" s="4" t="inlineStr">
        <is>
          <t>Y3 末</t>
        </is>
      </c>
    </row>
    <row r="10">
      <c r="A10" s="4" t="inlineStr">
        <is>
          <t>每年支持</t>
        </is>
      </c>
      <c r="B10" s="5" t="n">
        <v>40</v>
      </c>
      <c r="C10" s="5" t="n">
        <v>65</v>
      </c>
      <c r="D10" s="5" t="n">
        <v>25</v>
      </c>
      <c r="E10" s="4" t="inlineStr">
        <is>
          <t>每年末</t>
        </is>
      </c>
    </row>
    <row r="11">
      <c r="A11" s="4" t="inlineStr">
        <is>
          <t>每年预期停机成本</t>
        </is>
      </c>
      <c r="B11" s="5" t="n">
        <v>25</v>
      </c>
      <c r="C11" s="5" t="n">
        <v>80</v>
      </c>
      <c r="D11" s="5" t="n">
        <v>10</v>
      </c>
      <c r="E11" s="4" t="inlineStr">
        <is>
          <t>每年末</t>
        </is>
      </c>
    </row>
    <row r="12">
      <c r="A12" s="4" t="inlineStr">
        <is>
          <t>Y1 迁移费</t>
        </is>
      </c>
      <c r="B12" s="5" t="n">
        <v>0</v>
      </c>
      <c r="C12" s="5" t="n">
        <v>50</v>
      </c>
      <c r="D12" s="5" t="n">
        <v>0</v>
      </c>
      <c r="E12" s="4" t="inlineStr">
        <is>
          <t>Y1 末</t>
        </is>
      </c>
    </row>
    <row r="13">
      <c r="A13" s="4" t="inlineStr">
        <is>
          <t>Y3 残值/退出回收（抵减）</t>
        </is>
      </c>
      <c r="B13" s="5" t="n">
        <v>0</v>
      </c>
      <c r="C13" s="5" t="n">
        <v>0</v>
      </c>
      <c r="D13" s="5" t="n">
        <v>120</v>
      </c>
      <c r="E13" s="4" t="inlineStr">
        <is>
          <t>Y3 末，负成本</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60" customWidth="1" min="1" max="1"/>
    <col width="20" customWidth="1" min="2" max="2"/>
    <col width="17" customWidth="1" min="3" max="3"/>
    <col width="17" customWidth="1" min="4" max="4"/>
    <col width="17" customWidth="1" min="5" max="5"/>
    <col width="14" customWidth="1" min="6" max="6"/>
    <col width="14" customWidth="1" min="7" max="7"/>
    <col width="14" customWidth="1" min="8" max="8"/>
  </cols>
  <sheetData>
    <row r="1">
      <c r="A1" s="1" t="inlineStr">
        <is>
          <t>三年 TCO 现金流与 NPV（千美元；全部为公式；成本为正，残值为负）</t>
        </is>
      </c>
    </row>
    <row r="2">
      <c r="A2" s="3" t="inlineStr">
        <is>
          <t>年份 t</t>
        </is>
      </c>
      <c r="B2" s="3" t="inlineStr">
        <is>
          <t>折现因子 1/(1+r)^t</t>
        </is>
      </c>
      <c r="C2" s="3" t="inlineStr">
        <is>
          <t>Vendor A 现金流</t>
        </is>
      </c>
      <c r="D2" s="3" t="inlineStr">
        <is>
          <t>Vendor B 现金流</t>
        </is>
      </c>
      <c r="E2" s="3" t="inlineStr">
        <is>
          <t>Vendor C 现金流</t>
        </is>
      </c>
      <c r="F2" s="3" t="inlineStr">
        <is>
          <t>Vendor A PV</t>
        </is>
      </c>
      <c r="G2" s="3" t="inlineStr">
        <is>
          <t>Vendor B PV</t>
        </is>
      </c>
      <c r="H2" s="3" t="inlineStr">
        <is>
          <t>Vendor C PV</t>
        </is>
      </c>
    </row>
    <row r="3">
      <c r="A3" t="n">
        <v>0</v>
      </c>
      <c r="B3" s="6">
        <f>1/(1+Inputs!$B$2)^A3</f>
        <v/>
      </c>
      <c r="C3" s="7">
        <f>Inputs!B5+Inputs!B6</f>
        <v/>
      </c>
      <c r="D3" s="7">
        <f>Inputs!C5+Inputs!C6</f>
        <v/>
      </c>
      <c r="E3" s="7">
        <f>Inputs!D5+Inputs!D6</f>
        <v/>
      </c>
      <c r="F3" s="7">
        <f>C3*$B3</f>
        <v/>
      </c>
      <c r="G3" s="7">
        <f>D3*$B3</f>
        <v/>
      </c>
      <c r="H3" s="7">
        <f>E3*$B3</f>
        <v/>
      </c>
    </row>
    <row r="4">
      <c r="A4" t="n">
        <v>1</v>
      </c>
      <c r="B4" s="6">
        <f>1/(1+Inputs!$B$2)^A4</f>
        <v/>
      </c>
      <c r="C4" s="7">
        <f>Inputs!B7+Inputs!B10+Inputs!B11+Inputs!B12</f>
        <v/>
      </c>
      <c r="D4" s="7">
        <f>Inputs!C7+Inputs!C10+Inputs!C11+Inputs!C12</f>
        <v/>
      </c>
      <c r="E4" s="7">
        <f>Inputs!D7+Inputs!D10+Inputs!D11+Inputs!D12</f>
        <v/>
      </c>
      <c r="F4" s="7">
        <f>C4*$B4</f>
        <v/>
      </c>
      <c r="G4" s="7">
        <f>D4*$B4</f>
        <v/>
      </c>
      <c r="H4" s="7">
        <f>E4*$B4</f>
        <v/>
      </c>
    </row>
    <row r="5">
      <c r="A5" t="n">
        <v>2</v>
      </c>
      <c r="B5" s="6">
        <f>1/(1+Inputs!$B$2)^A5</f>
        <v/>
      </c>
      <c r="C5" s="7">
        <f>Inputs!B8+Inputs!B10+Inputs!B11</f>
        <v/>
      </c>
      <c r="D5" s="7">
        <f>Inputs!C8+Inputs!C10+Inputs!C11</f>
        <v/>
      </c>
      <c r="E5" s="7">
        <f>Inputs!D8+Inputs!D10+Inputs!D11</f>
        <v/>
      </c>
      <c r="F5" s="7">
        <f>C5*$B5</f>
        <v/>
      </c>
      <c r="G5" s="7">
        <f>D5*$B5</f>
        <v/>
      </c>
      <c r="H5" s="7">
        <f>E5*$B5</f>
        <v/>
      </c>
    </row>
    <row r="6">
      <c r="A6" t="n">
        <v>3</v>
      </c>
      <c r="B6" s="6">
        <f>1/(1+Inputs!$B$2)^A6</f>
        <v/>
      </c>
      <c r="C6" s="7">
        <f>Inputs!B9+Inputs!B10+Inputs!B11-Inputs!B13</f>
        <v/>
      </c>
      <c r="D6" s="7">
        <f>Inputs!C9+Inputs!C10+Inputs!C11-Inputs!C13</f>
        <v/>
      </c>
      <c r="E6" s="7">
        <f>Inputs!D9+Inputs!D10+Inputs!D11-Inputs!D13</f>
        <v/>
      </c>
      <c r="F6" s="7">
        <f>C6*$B6</f>
        <v/>
      </c>
      <c r="G6" s="7">
        <f>D6*$B6</f>
        <v/>
      </c>
      <c r="H6" s="7">
        <f>E6*$B6</f>
        <v/>
      </c>
    </row>
    <row r="7"/>
    <row r="8">
      <c r="A8" t="inlineStr">
        <is>
          <t>名义合计（未折现）</t>
        </is>
      </c>
      <c r="C8" s="7">
        <f>SUM(C3:C6)</f>
        <v/>
      </c>
      <c r="D8" s="7">
        <f>SUM(D3:D6)</f>
        <v/>
      </c>
      <c r="E8" s="7">
        <f>SUM(E3:E6)</f>
        <v/>
      </c>
    </row>
    <row r="9">
      <c r="A9" t="inlineStr">
        <is>
          <t>NPV（折现成本合计）</t>
        </is>
      </c>
      <c r="C9" s="7">
        <f>SUM(F3:F6)</f>
        <v/>
      </c>
      <c r="D9" s="7">
        <f>SUM(G3:G6)</f>
        <v/>
      </c>
      <c r="E9" s="7">
        <f>SUM(H3:H6)</f>
        <v/>
      </c>
    </row>
    <row r="10">
      <c r="A10" t="inlineStr">
        <is>
          <t>NPV 排名（1=最低）</t>
        </is>
      </c>
      <c r="C10" s="8">
        <f>RANK(C9,$C$9:$E$9,1)</f>
        <v/>
      </c>
      <c r="D10" s="8">
        <f>RANK(D9,$C$9:$E$9,1)</f>
        <v/>
      </c>
      <c r="E10" s="8">
        <f>RANK(E9,$C$9:$E$9,1)</f>
        <v/>
      </c>
    </row>
    <row r="11">
      <c r="A11" t="inlineStr">
        <is>
          <t>NPV 相对最低者差额</t>
        </is>
      </c>
      <c r="C11" s="7">
        <f>C9-MIN($C$9:$E$9)</f>
        <v/>
      </c>
      <c r="D11" s="7">
        <f>D9-MIN($C$9:$E$9)</f>
        <v/>
      </c>
      <c r="E11" s="7">
        <f>E9-MIN($C$9:$E$9)</f>
        <v/>
      </c>
    </row>
    <row r="12">
      <c r="A12" t="inlineStr">
        <is>
          <t>NPV 校验 =NPV() 函数（t0 + NPV(t1..t3)）</t>
        </is>
      </c>
      <c r="C12" s="7">
        <f>C3+NPV(Inputs!$B$2,C4:C6)</f>
        <v/>
      </c>
      <c r="D12" s="7">
        <f>D3+NPV(Inputs!$B$2,D4:D6)</f>
        <v/>
      </c>
      <c r="E12" s="7">
        <f>E3+NPV(Inputs!$B$2,E4:E6)</f>
        <v/>
      </c>
    </row>
    <row r="13"/>
    <row r="14">
      <c r="A14" s="9" t="inlineStr">
        <is>
          <t>汇总</t>
        </is>
      </c>
    </row>
    <row r="15">
      <c r="A15" s="3" t="inlineStr">
        <is>
          <t>供应商</t>
        </is>
      </c>
      <c r="B15" s="3" t="inlineStr">
        <is>
          <t>NPV</t>
        </is>
      </c>
      <c r="C15" s="3" t="inlineStr">
        <is>
          <t>名义合计</t>
        </is>
      </c>
      <c r="D15" s="3" t="inlineStr">
        <is>
          <t>排名</t>
        </is>
      </c>
    </row>
    <row r="16">
      <c r="A16" t="inlineStr">
        <is>
          <t>Vendor A</t>
        </is>
      </c>
      <c r="B16" s="10">
        <f>C9</f>
        <v/>
      </c>
      <c r="C16" s="10">
        <f>C8</f>
        <v/>
      </c>
      <c r="D16" s="11">
        <f>C10</f>
        <v/>
      </c>
    </row>
    <row r="17">
      <c r="A17" t="inlineStr">
        <is>
          <t>Vendor B</t>
        </is>
      </c>
      <c r="B17" s="10">
        <f>D9</f>
        <v/>
      </c>
      <c r="C17" s="10">
        <f>D8</f>
        <v/>
      </c>
      <c r="D17" s="11">
        <f>D10</f>
        <v/>
      </c>
    </row>
    <row r="18">
      <c r="A18" t="inlineStr">
        <is>
          <t>Vendor C</t>
        </is>
      </c>
      <c r="B18" s="10">
        <f>E9</f>
        <v/>
      </c>
      <c r="C18" s="10">
        <f>E8</f>
        <v/>
      </c>
      <c r="D18" s="11">
        <f>E10</f>
        <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cols>
    <col width="44" customWidth="1" min="1" max="1"/>
    <col width="14" customWidth="1" min="2" max="2"/>
    <col width="14" customWidth="1" min="3" max="3"/>
    <col width="14" customWidth="1" min="4" max="4"/>
    <col width="17" customWidth="1" min="5" max="5"/>
  </cols>
  <sheetData>
    <row r="1">
      <c r="A1" s="1" t="inlineStr">
        <is>
          <t>敏感性分析（千美元；公式重算 NPV）</t>
        </is>
      </c>
    </row>
    <row r="2">
      <c r="A2" s="9" t="inlineStr">
        <is>
          <t>情景 1：Vendor B 年停机成本假设变化（其余不变）</t>
        </is>
      </c>
    </row>
    <row r="3">
      <c r="A3" s="3" t="inlineStr">
        <is>
          <t>B 年停机成本</t>
        </is>
      </c>
      <c r="B3" s="3" t="inlineStr">
        <is>
          <t>Vendor A NPV</t>
        </is>
      </c>
      <c r="C3" s="3" t="inlineStr">
        <is>
          <t>Vendor B NPV</t>
        </is>
      </c>
      <c r="D3" s="3" t="inlineStr">
        <is>
          <t>Vendor C NPV</t>
        </is>
      </c>
      <c r="E3" s="3" t="inlineStr">
        <is>
          <t>最低 NPV 供应商</t>
        </is>
      </c>
    </row>
    <row r="4">
      <c r="A4" s="12" t="n">
        <v>25</v>
      </c>
      <c r="B4" s="10">
        <f>(Inputs!B5+Inputs!B6)+(Inputs!B7+Inputs!B10+Inputs!B11+Inputs!B12)/(1+Inputs!$B$2)+(Inputs!B8+Inputs!B10+Inputs!B11)/(1+Inputs!$B$2)^2+(Inputs!B9+Inputs!B10+Inputs!B11-Inputs!B13)/(1+Inputs!$B$2)^3</f>
        <v/>
      </c>
      <c r="C4" s="10">
        <f>(Inputs!C5+Inputs!C6)+(Inputs!C7+Inputs!C10+$A4+Inputs!C12)/(1+Inputs!$B$2)+(Inputs!C8+Inputs!C10+$A4)/(1+Inputs!$B$2)^2+(Inputs!C9+Inputs!C10+$A4-Inputs!C13)/(1+Inputs!$B$2)^3</f>
        <v/>
      </c>
      <c r="D4" s="10">
        <f>(Inputs!D5+Inputs!D6)+(Inputs!D7+Inputs!D10+Inputs!D11+Inputs!D12)/(1+Inputs!$B$2)+(Inputs!D8+Inputs!D10+Inputs!D11)/(1+Inputs!$B$2)^2+(Inputs!D9+Inputs!D10+Inputs!D11-Inputs!D13)/(1+Inputs!$B$2)^3</f>
        <v/>
      </c>
      <c r="E4" s="11">
        <f>INDEX({"Vendor A","Vendor B","Vendor C"},MATCH(MIN(B4:D4),B4:D4,0))</f>
        <v/>
      </c>
    </row>
    <row r="5">
      <c r="A5" s="12" t="n">
        <v>40</v>
      </c>
      <c r="B5" s="10">
        <f>(Inputs!B5+Inputs!B6)+(Inputs!B7+Inputs!B10+Inputs!B11+Inputs!B12)/(1+Inputs!$B$2)+(Inputs!B8+Inputs!B10+Inputs!B11)/(1+Inputs!$B$2)^2+(Inputs!B9+Inputs!B10+Inputs!B11-Inputs!B13)/(1+Inputs!$B$2)^3</f>
        <v/>
      </c>
      <c r="C5" s="10">
        <f>(Inputs!C5+Inputs!C6)+(Inputs!C7+Inputs!C10+$A5+Inputs!C12)/(1+Inputs!$B$2)+(Inputs!C8+Inputs!C10+$A5)/(1+Inputs!$B$2)^2+(Inputs!C9+Inputs!C10+$A5-Inputs!C13)/(1+Inputs!$B$2)^3</f>
        <v/>
      </c>
      <c r="D5" s="10">
        <f>(Inputs!D5+Inputs!D6)+(Inputs!D7+Inputs!D10+Inputs!D11+Inputs!D12)/(1+Inputs!$B$2)+(Inputs!D8+Inputs!D10+Inputs!D11)/(1+Inputs!$B$2)^2+(Inputs!D9+Inputs!D10+Inputs!D11-Inputs!D13)/(1+Inputs!$B$2)^3</f>
        <v/>
      </c>
      <c r="E5" s="11">
        <f>INDEX({"Vendor A","Vendor B","Vendor C"},MATCH(MIN(B5:D5),B5:D5,0))</f>
        <v/>
      </c>
    </row>
    <row r="6">
      <c r="A6" s="12" t="n">
        <v>60</v>
      </c>
      <c r="B6" s="10">
        <f>(Inputs!B5+Inputs!B6)+(Inputs!B7+Inputs!B10+Inputs!B11+Inputs!B12)/(1+Inputs!$B$2)+(Inputs!B8+Inputs!B10+Inputs!B11)/(1+Inputs!$B$2)^2+(Inputs!B9+Inputs!B10+Inputs!B11-Inputs!B13)/(1+Inputs!$B$2)^3</f>
        <v/>
      </c>
      <c r="C6" s="10">
        <f>(Inputs!C5+Inputs!C6)+(Inputs!C7+Inputs!C10+$A6+Inputs!C12)/(1+Inputs!$B$2)+(Inputs!C8+Inputs!C10+$A6)/(1+Inputs!$B$2)^2+(Inputs!C9+Inputs!C10+$A6-Inputs!C13)/(1+Inputs!$B$2)^3</f>
        <v/>
      </c>
      <c r="D6" s="10">
        <f>(Inputs!D5+Inputs!D6)+(Inputs!D7+Inputs!D10+Inputs!D11+Inputs!D12)/(1+Inputs!$B$2)+(Inputs!D8+Inputs!D10+Inputs!D11)/(1+Inputs!$B$2)^2+(Inputs!D9+Inputs!D10+Inputs!D11-Inputs!D13)/(1+Inputs!$B$2)^3</f>
        <v/>
      </c>
      <c r="E6" s="11">
        <f>INDEX({"Vendor A","Vendor B","Vendor C"},MATCH(MIN(B6:D6),B6:D6,0))</f>
        <v/>
      </c>
    </row>
    <row r="7">
      <c r="A7" s="12" t="n">
        <v>80</v>
      </c>
      <c r="B7" s="10">
        <f>(Inputs!B5+Inputs!B6)+(Inputs!B7+Inputs!B10+Inputs!B11+Inputs!B12)/(1+Inputs!$B$2)+(Inputs!B8+Inputs!B10+Inputs!B11)/(1+Inputs!$B$2)^2+(Inputs!B9+Inputs!B10+Inputs!B11-Inputs!B13)/(1+Inputs!$B$2)^3</f>
        <v/>
      </c>
      <c r="C7" s="10">
        <f>(Inputs!C5+Inputs!C6)+(Inputs!C7+Inputs!C10+$A7+Inputs!C12)/(1+Inputs!$B$2)+(Inputs!C8+Inputs!C10+$A7)/(1+Inputs!$B$2)^2+(Inputs!C9+Inputs!C10+$A7-Inputs!C13)/(1+Inputs!$B$2)^3</f>
        <v/>
      </c>
      <c r="D7" s="10">
        <f>(Inputs!D5+Inputs!D6)+(Inputs!D7+Inputs!D10+Inputs!D11+Inputs!D12)/(1+Inputs!$B$2)+(Inputs!D8+Inputs!D10+Inputs!D11)/(1+Inputs!$B$2)^2+(Inputs!D9+Inputs!D10+Inputs!D11-Inputs!D13)/(1+Inputs!$B$2)^3</f>
        <v/>
      </c>
      <c r="E7" s="11">
        <f>INDEX({"Vendor A","Vendor B","Vendor C"},MATCH(MIN(B7:D7),B7:D7,0))</f>
        <v/>
      </c>
    </row>
    <row r="8">
      <c r="A8" s="12" t="n">
        <v>100</v>
      </c>
      <c r="B8" s="10">
        <f>(Inputs!B5+Inputs!B6)+(Inputs!B7+Inputs!B10+Inputs!B11+Inputs!B12)/(1+Inputs!$B$2)+(Inputs!B8+Inputs!B10+Inputs!B11)/(1+Inputs!$B$2)^2+(Inputs!B9+Inputs!B10+Inputs!B11-Inputs!B13)/(1+Inputs!$B$2)^3</f>
        <v/>
      </c>
      <c r="C8" s="10">
        <f>(Inputs!C5+Inputs!C6)+(Inputs!C7+Inputs!C10+$A8+Inputs!C12)/(1+Inputs!$B$2)+(Inputs!C8+Inputs!C10+$A8)/(1+Inputs!$B$2)^2+(Inputs!C9+Inputs!C10+$A8-Inputs!C13)/(1+Inputs!$B$2)^3</f>
        <v/>
      </c>
      <c r="D8" s="10">
        <f>(Inputs!D5+Inputs!D6)+(Inputs!D7+Inputs!D10+Inputs!D11+Inputs!D12)/(1+Inputs!$B$2)+(Inputs!D8+Inputs!D10+Inputs!D11)/(1+Inputs!$B$2)^2+(Inputs!D9+Inputs!D10+Inputs!D11-Inputs!D13)/(1+Inputs!$B$2)^3</f>
        <v/>
      </c>
      <c r="E8" s="11">
        <f>INDEX({"Vendor A","Vendor B","Vendor C"},MATCH(MIN(B8:D8),B8:D8,0))</f>
        <v/>
      </c>
    </row>
    <row r="9"/>
    <row r="10">
      <c r="A10" s="9" t="inlineStr">
        <is>
          <t>情景 2：Vendor A 年停机成本翻倍风险（A 客户参考少）</t>
        </is>
      </c>
    </row>
    <row r="11">
      <c r="A11" s="3" t="inlineStr">
        <is>
          <t>A 年停机成本</t>
        </is>
      </c>
      <c r="B11" s="3" t="inlineStr">
        <is>
          <t>Vendor A NPV</t>
        </is>
      </c>
      <c r="C11" s="3" t="inlineStr">
        <is>
          <t>Vendor B NPV</t>
        </is>
      </c>
      <c r="D11" s="3" t="inlineStr">
        <is>
          <t>Vendor C NPV</t>
        </is>
      </c>
      <c r="E11" s="3" t="inlineStr">
        <is>
          <t>最低 NPV 供应商</t>
        </is>
      </c>
    </row>
    <row r="12">
      <c r="A12" s="12" t="n">
        <v>25</v>
      </c>
      <c r="B12" s="10">
        <f>(Inputs!B5+Inputs!B6)+(Inputs!B7+Inputs!B10+$A12+Inputs!B12)/(1+Inputs!$B$2)+(Inputs!B8+Inputs!B10+$A12)/(1+Inputs!$B$2)^2+(Inputs!B9+Inputs!B10+$A12-Inputs!B13)/(1+Inputs!$B$2)^3</f>
        <v/>
      </c>
      <c r="C12" s="10">
        <f>(Inputs!C5+Inputs!C6)+(Inputs!C7+Inputs!C10+Inputs!C11+Inputs!C12)/(1+Inputs!$B$2)+(Inputs!C8+Inputs!C10+Inputs!C11)/(1+Inputs!$B$2)^2+(Inputs!C9+Inputs!C10+Inputs!C11-Inputs!C13)/(1+Inputs!$B$2)^3</f>
        <v/>
      </c>
      <c r="D12" s="10">
        <f>(Inputs!D5+Inputs!D6)+(Inputs!D7+Inputs!D10+Inputs!D11+Inputs!D12)/(1+Inputs!$B$2)+(Inputs!D8+Inputs!D10+Inputs!D11)/(1+Inputs!$B$2)^2+(Inputs!D9+Inputs!D10+Inputs!D11-Inputs!D13)/(1+Inputs!$B$2)^3</f>
        <v/>
      </c>
      <c r="E12" s="11">
        <f>INDEX({"Vendor A","Vendor B","Vendor C"},MATCH(MIN(B12:D12),B12:D12,0))</f>
        <v/>
      </c>
    </row>
    <row r="13">
      <c r="A13" s="12" t="n">
        <v>50</v>
      </c>
      <c r="B13" s="10">
        <f>(Inputs!B5+Inputs!B6)+(Inputs!B7+Inputs!B10+$A13+Inputs!B12)/(1+Inputs!$B$2)+(Inputs!B8+Inputs!B10+$A13)/(1+Inputs!$B$2)^2+(Inputs!B9+Inputs!B10+$A13-Inputs!B13)/(1+Inputs!$B$2)^3</f>
        <v/>
      </c>
      <c r="C13" s="10">
        <f>(Inputs!C5+Inputs!C6)+(Inputs!C7+Inputs!C10+Inputs!C11+Inputs!C12)/(1+Inputs!$B$2)+(Inputs!C8+Inputs!C10+Inputs!C11)/(1+Inputs!$B$2)^2+(Inputs!C9+Inputs!C10+Inputs!C11-Inputs!C13)/(1+Inputs!$B$2)^3</f>
        <v/>
      </c>
      <c r="D13" s="10">
        <f>(Inputs!D5+Inputs!D6)+(Inputs!D7+Inputs!D10+Inputs!D11+Inputs!D12)/(1+Inputs!$B$2)+(Inputs!D8+Inputs!D10+Inputs!D11)/(1+Inputs!$B$2)^2+(Inputs!D9+Inputs!D10+Inputs!D11-Inputs!D13)/(1+Inputs!$B$2)^3</f>
        <v/>
      </c>
      <c r="E13" s="11">
        <f>INDEX({"Vendor A","Vendor B","Vendor C"},MATCH(MIN(B13:D13),B13:D13,0))</f>
        <v/>
      </c>
    </row>
    <row r="14">
      <c r="A14" s="12" t="n">
        <v>75</v>
      </c>
      <c r="B14" s="10">
        <f>(Inputs!B5+Inputs!B6)+(Inputs!B7+Inputs!B10+$A14+Inputs!B12)/(1+Inputs!$B$2)+(Inputs!B8+Inputs!B10+$A14)/(1+Inputs!$B$2)^2+(Inputs!B9+Inputs!B10+$A14-Inputs!B13)/(1+Inputs!$B$2)^3</f>
        <v/>
      </c>
      <c r="C14" s="10">
        <f>(Inputs!C5+Inputs!C6)+(Inputs!C7+Inputs!C10+Inputs!C11+Inputs!C12)/(1+Inputs!$B$2)+(Inputs!C8+Inputs!C10+Inputs!C11)/(1+Inputs!$B$2)^2+(Inputs!C9+Inputs!C10+Inputs!C11-Inputs!C13)/(1+Inputs!$B$2)^3</f>
        <v/>
      </c>
      <c r="D14" s="10">
        <f>(Inputs!D5+Inputs!D6)+(Inputs!D7+Inputs!D10+Inputs!D11+Inputs!D12)/(1+Inputs!$B$2)+(Inputs!D8+Inputs!D10+Inputs!D11)/(1+Inputs!$B$2)^2+(Inputs!D9+Inputs!D10+Inputs!D11-Inputs!D13)/(1+Inputs!$B$2)^3</f>
        <v/>
      </c>
      <c r="E14" s="11">
        <f>INDEX({"Vendor A","Vendor B","Vendor C"},MATCH(MIN(B14:D14),B14:D14,0))</f>
        <v/>
      </c>
    </row>
    <row r="15"/>
    <row r="16">
      <c r="A16" s="9" t="inlineStr">
        <is>
          <t>情景 3：折现率</t>
        </is>
      </c>
    </row>
    <row r="17">
      <c r="A17" s="3" t="inlineStr">
        <is>
          <t>折现率</t>
        </is>
      </c>
      <c r="B17" s="3" t="inlineStr">
        <is>
          <t>Vendor A NPV</t>
        </is>
      </c>
      <c r="C17" s="3" t="inlineStr">
        <is>
          <t>Vendor B NPV</t>
        </is>
      </c>
      <c r="D17" s="3" t="inlineStr">
        <is>
          <t>Vendor C NPV</t>
        </is>
      </c>
      <c r="E17" s="3" t="inlineStr">
        <is>
          <t>最低 NPV 供应商</t>
        </is>
      </c>
    </row>
    <row r="18">
      <c r="A18" s="2" t="n">
        <v>0.06</v>
      </c>
      <c r="B18" s="10">
        <f>(Inputs!B5+Inputs!B6)+(Inputs!B7+Inputs!B10+Inputs!B11+Inputs!B12)/(1+$A18)+(Inputs!B8+Inputs!B10+Inputs!B11)/(1+$A18)^2+(Inputs!B9+Inputs!B10+Inputs!B11-Inputs!B13)/(1+$A18)^3</f>
        <v/>
      </c>
      <c r="C18" s="10">
        <f>(Inputs!C5+Inputs!C6)+(Inputs!C7+Inputs!C10+Inputs!C11+Inputs!C12)/(1+$A18)+(Inputs!C8+Inputs!C10+Inputs!C11)/(1+$A18)^2+(Inputs!C9+Inputs!C10+Inputs!C11-Inputs!C13)/(1+$A18)^3</f>
        <v/>
      </c>
      <c r="D18" s="10">
        <f>(Inputs!D5+Inputs!D6)+(Inputs!D7+Inputs!D10+Inputs!D11+Inputs!D12)/(1+$A18)+(Inputs!D8+Inputs!D10+Inputs!D11)/(1+$A18)^2+(Inputs!D9+Inputs!D10+Inputs!D11-Inputs!D13)/(1+$A18)^3</f>
        <v/>
      </c>
      <c r="E18" s="11">
        <f>INDEX({"Vendor A","Vendor B","Vendor C"},MATCH(MIN(B18:D18),B18:D18,0))</f>
        <v/>
      </c>
    </row>
    <row r="19">
      <c r="A19" s="2" t="n">
        <v>0.08</v>
      </c>
      <c r="B19" s="10">
        <f>(Inputs!B5+Inputs!B6)+(Inputs!B7+Inputs!B10+Inputs!B11+Inputs!B12)/(1+$A19)+(Inputs!B8+Inputs!B10+Inputs!B11)/(1+$A19)^2+(Inputs!B9+Inputs!B10+Inputs!B11-Inputs!B13)/(1+$A19)^3</f>
        <v/>
      </c>
      <c r="C19" s="10">
        <f>(Inputs!C5+Inputs!C6)+(Inputs!C7+Inputs!C10+Inputs!C11+Inputs!C12)/(1+$A19)+(Inputs!C8+Inputs!C10+Inputs!C11)/(1+$A19)^2+(Inputs!C9+Inputs!C10+Inputs!C11-Inputs!C13)/(1+$A19)^3</f>
        <v/>
      </c>
      <c r="D19" s="10">
        <f>(Inputs!D5+Inputs!D6)+(Inputs!D7+Inputs!D10+Inputs!D11+Inputs!D12)/(1+$A19)+(Inputs!D8+Inputs!D10+Inputs!D11)/(1+$A19)^2+(Inputs!D9+Inputs!D10+Inputs!D11-Inputs!D13)/(1+$A19)^3</f>
        <v/>
      </c>
      <c r="E19" s="11">
        <f>INDEX({"Vendor A","Vendor B","Vendor C"},MATCH(MIN(B19:D19),B19:D19,0))</f>
        <v/>
      </c>
    </row>
    <row r="20">
      <c r="A20" s="2" t="n">
        <v>0.1</v>
      </c>
      <c r="B20" s="10">
        <f>(Inputs!B5+Inputs!B6)+(Inputs!B7+Inputs!B10+Inputs!B11+Inputs!B12)/(1+$A20)+(Inputs!B8+Inputs!B10+Inputs!B11)/(1+$A20)^2+(Inputs!B9+Inputs!B10+Inputs!B11-Inputs!B13)/(1+$A20)^3</f>
        <v/>
      </c>
      <c r="C20" s="10">
        <f>(Inputs!C5+Inputs!C6)+(Inputs!C7+Inputs!C10+Inputs!C11+Inputs!C12)/(1+$A20)+(Inputs!C8+Inputs!C10+Inputs!C11)/(1+$A20)^2+(Inputs!C9+Inputs!C10+Inputs!C11-Inputs!C13)/(1+$A20)^3</f>
        <v/>
      </c>
      <c r="D20" s="10">
        <f>(Inputs!D5+Inputs!D6)+(Inputs!D7+Inputs!D10+Inputs!D11+Inputs!D12)/(1+$A20)+(Inputs!D8+Inputs!D10+Inputs!D11)/(1+$A20)^2+(Inputs!D9+Inputs!D10+Inputs!D11-Inputs!D13)/(1+$A20)^3</f>
        <v/>
      </c>
      <c r="E20" s="11">
        <f>INDEX({"Vendor A","Vendor B","Vendor C"},MATCH(MIN(B20:D20),B20:D20,0))</f>
        <v/>
      </c>
    </row>
    <row r="21">
      <c r="A21" s="2" t="n">
        <v>0.12</v>
      </c>
      <c r="B21" s="10">
        <f>(Inputs!B5+Inputs!B6)+(Inputs!B7+Inputs!B10+Inputs!B11+Inputs!B12)/(1+$A21)+(Inputs!B8+Inputs!B10+Inputs!B11)/(1+$A21)^2+(Inputs!B9+Inputs!B10+Inputs!B11-Inputs!B13)/(1+$A21)^3</f>
        <v/>
      </c>
      <c r="C21" s="10">
        <f>(Inputs!C5+Inputs!C6)+(Inputs!C7+Inputs!C10+Inputs!C11+Inputs!C12)/(1+$A21)+(Inputs!C8+Inputs!C10+Inputs!C11)/(1+$A21)^2+(Inputs!C9+Inputs!C10+Inputs!C11-Inputs!C13)/(1+$A21)^3</f>
        <v/>
      </c>
      <c r="D21" s="10">
        <f>(Inputs!D5+Inputs!D6)+(Inputs!D7+Inputs!D10+Inputs!D11+Inputs!D12)/(1+$A21)+(Inputs!D8+Inputs!D10+Inputs!D11)/(1+$A21)^2+(Inputs!D9+Inputs!D10+Inputs!D11-Inputs!D13)/(1+$A21)^3</f>
        <v/>
      </c>
      <c r="E21" s="11">
        <f>INDEX({"Vendor A","Vendor B","Vendor C"},MATCH(MIN(B21:D21),B21:D21,0))</f>
        <v/>
      </c>
    </row>
    <row r="22"/>
    <row r="23">
      <c r="A23" s="9" t="inlineStr">
        <is>
          <t>Vendor B 停机成本盈亏平衡点（使 B 的 NPV 等于 A 的 NPV，按年停机成本）</t>
        </is>
      </c>
    </row>
    <row r="24">
      <c r="A24" t="inlineStr">
        <is>
          <t>年金因子 Σ1/(1+r)^t, t=1..3</t>
        </is>
      </c>
      <c r="B24" s="13">
        <f>1/(1+Inputs!B2)+1/(1+Inputs!B2)^2+1/(1+Inputs!B2)^3</f>
        <v/>
      </c>
    </row>
    <row r="25">
      <c r="A25" t="inlineStr">
        <is>
          <t>B 停机成本为 0 时的 NPV</t>
        </is>
      </c>
      <c r="B25" s="10">
        <f>(Inputs!C5+Inputs!C6)+(Inputs!C7+Inputs!C10+0+Inputs!C12)/(1+Inputs!$B$2)+(Inputs!C8+Inputs!C10+0)/(1+Inputs!$B$2)^2+(Inputs!C9+Inputs!C10+0-Inputs!C13)/(1+Inputs!$B$2)^3</f>
        <v/>
      </c>
    </row>
    <row r="26">
      <c r="A26" t="inlineStr">
        <is>
          <t>使 B = A 的年停机成本</t>
        </is>
      </c>
      <c r="B26" s="10">
        <f>(NPV!C9-B25)/B24</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120" customWidth="1" min="1" max="1"/>
  </cols>
  <sheetData>
    <row r="1">
      <c r="A1" s="14" t="inlineStr">
        <is>
          <t>采购建议</t>
        </is>
      </c>
    </row>
    <row r="2" ht="260" customHeight="1">
      <c r="A2" s="15" t="inlineStr">
        <is>
          <t>采购建议（≤500 字）：按 8% 折现，三年 TCO 的 NPV 为 Vendor A 1,426.8、Vendor B 1,470.6、Vendor C 1,494.6 千美元（测算），A 最低，比 B 低 43.7、比 C 低 67.8。名义合计 A 1,615、B 1,671、C 1,675。建议：以 Vendor A 为首选，但附三项条件：① 在签约前完成对其仅有的两个同规模客户的深度参考访谈与一次架构评审，若无法完成则转向 Vendor C；② 合同写入可用性 SLA 与停机服务抵扣，因为 A 的优势建立在年停机成本 25 的假设上——若 A 的停机成本升至 50，其 NPV 升至约 1,491，与 C 几乎持平（敏感性表情景 2）；③ 锁定三年许可价格。不选 Vendor B 的原因：名义许可费最低，但许可价逐年上涨、迁移费 50、年支持 65 与停机成本 80 使其 NPV 反而高于 A；且停机成本假设最不确定——只有当 B 的年停机成本降至约 63 以下（敏感性 B26 盈亏平衡点，测算）才会低于 A，而 B 的当前假设为 80。Vendor C 的非价格优势明显：六个同规模客户、最低停机成本 10、Y3 残值 120，是风险最低的选项；若运营对 A 的客户基础顾虑无法通过参考访谈消除，C 是可接受的次选，代价是 NPV 高出约 67.8。折现率在 6%–12% 区间内不改变 A 最低的排序（敏感性情景 3）。</t>
        </is>
      </c>
    </row>
    <row r="4">
      <c r="A4" t="inlineStr">
        <is>
          <t>字数</t>
        </is>
      </c>
      <c r="B4" t="n">
        <v>425</v>
      </c>
    </row>
    <row r="5">
      <c r="A5" t="inlineStr">
        <is>
          <t>NPV A / B / C（引用）</t>
        </is>
      </c>
      <c r="B5" s="10">
        <f>NPV!C9</f>
        <v/>
      </c>
      <c r="C5" s="10">
        <f>NPV!D9</f>
        <v/>
      </c>
      <c r="D5" s="10">
        <f>NPV!E9</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2026-09-02T02:01:21Z</dcterms:created>
  <dcterms:modified xmlns:dcterms="http://purl.org/dc/terms/" xmlns:xsi="http://www.w3.org/2001/XMLSchema-instance" xsi:type="dcterms:W3CDTF">2026-09-02T02:01:21Z</dcterms:modified>
</cp:coreProperties>
</file>