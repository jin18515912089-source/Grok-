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XL 3-Statement Model" sheetId="1" state="visible" r:id="rId1"/>
  </sheets>
  <definedNames>
    <definedName name="_xlnm.Print_Titles" localSheetId="0">'MXL 3-Statement Model'!$1:$11,'MXL 3-Statement Model'!$A:$C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666666"/>
      <sz val="8"/>
    </font>
    <font>
      <name val="Calibri"/>
      <b val="1"/>
      <color rgb="00000000"/>
      <sz val="9"/>
    </font>
    <font>
      <name val="Calibri"/>
      <color rgb="000000FF"/>
      <sz val="9"/>
    </font>
    <font>
      <name val="Calibri"/>
      <color rgb="00000000"/>
      <sz val="9"/>
    </font>
    <font>
      <name val="Calibri"/>
      <i val="1"/>
      <color rgb="00000000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000FF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833C0C"/>
      </patternFill>
    </fill>
    <fill>
      <patternFill patternType="solid">
        <fgColor rgb="005B2C6F"/>
      </patternFill>
    </fill>
    <fill>
      <patternFill patternType="solid">
        <fgColor rgb="00C0000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49" fontId="4" fillId="3" borderId="1" applyAlignment="1" pivotButton="0" quotePrefix="0" xfId="0">
      <alignment horizontal="right" vertical="center"/>
    </xf>
    <xf numFmtId="49" fontId="4" fillId="5" borderId="1" applyAlignment="1" pivotButton="0" quotePrefix="0" xfId="0">
      <alignment horizontal="right" vertical="center"/>
    </xf>
    <xf numFmtId="49" fontId="4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49" fontId="6" fillId="3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right" vertical="center"/>
    </xf>
    <xf numFmtId="49" fontId="6" fillId="4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0" fontId="9" fillId="2" borderId="0" pivotButton="0" quotePrefix="0" xfId="0"/>
    <xf numFmtId="164" fontId="6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9" fillId="8" borderId="0" pivotButton="0" quotePrefix="0" xfId="0"/>
    <xf numFmtId="3" fontId="10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9" fillId="9" borderId="0" pivotButton="0" quotePrefix="0" xfId="0"/>
    <xf numFmtId="3" fontId="4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9" fillId="10" borderId="0" pivotButton="0" quotePrefix="0" xfId="0"/>
    <xf numFmtId="0" fontId="9" fillId="11" borderId="0" pivotButton="0" quotePrefix="0" xfId="0"/>
    <xf numFmtId="3" fontId="4" fillId="12" borderId="1" applyAlignment="1" pivotButton="0" quotePrefix="0" xfId="0">
      <alignment horizontal="right" vertical="center"/>
    </xf>
    <xf numFmtId="3" fontId="6" fillId="12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R138"/>
  <sheetViews>
    <sheetView showGridLines="0" zoomScale="85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1.2" customWidth="1" min="16" max="16"/>
    <col width="2.5" customWidth="1" min="17" max="17"/>
    <col width="11.2" customWidth="1" min="18" max="18"/>
    <col width="11.2" customWidth="1" min="19" max="19"/>
    <col width="11.2" customWidth="1" min="20" max="20"/>
    <col width="11.2" customWidth="1" min="21" max="21"/>
    <col width="11.2" customWidth="1" min="22" max="22"/>
    <col width="11.2" customWidth="1" min="23" max="23"/>
    <col width="11.2" customWidth="1" min="24" max="24"/>
    <col width="11.2" customWidth="1" min="25" max="25"/>
    <col width="11.2" customWidth="1" min="26" max="26"/>
    <col width="11.2" customWidth="1" min="27" max="27"/>
    <col width="11.2" customWidth="1" min="28" max="28"/>
    <col width="11.2" customWidth="1" min="29" max="29"/>
    <col width="11.2" customWidth="1" min="30" max="30"/>
    <col width="11.2" customWidth="1" min="31" max="31"/>
    <col width="11.2" customWidth="1" min="32" max="32"/>
    <col width="11.2" customWidth="1" min="33" max="33"/>
    <col width="11.2" customWidth="1" min="34" max="34"/>
    <col width="11.2" customWidth="1" min="35" max="35"/>
    <col width="11.2" customWidth="1" min="36" max="36"/>
    <col width="11.2" customWidth="1" min="37" max="37"/>
    <col width="11.2" customWidth="1" min="38" max="38"/>
    <col width="11.2" customWidth="1" min="39" max="39"/>
    <col width="11.2" customWidth="1" min="40" max="40"/>
    <col width="11.2" customWidth="1" min="41" max="41"/>
    <col width="11.2" customWidth="1" min="42" max="42"/>
    <col width="11.2" customWidth="1" min="43" max="43"/>
    <col width="11.2" customWidth="1" min="44" max="44"/>
    <col width="11.2" customWidth="1" min="45" max="45"/>
    <col width="11.2" customWidth="1" min="46" max="46"/>
    <col width="11.2" customWidth="1" min="47" max="47"/>
    <col width="11.2" customWidth="1" min="48" max="48"/>
    <col width="11.2" customWidth="1" min="49" max="49"/>
    <col width="11.2" customWidth="1" min="50" max="50"/>
    <col width="11.2" customWidth="1" min="51" max="51"/>
    <col width="11.2" customWidth="1" min="52" max="52"/>
    <col width="11.2" customWidth="1" min="53" max="53"/>
    <col width="11.2" customWidth="1" min="54" max="54"/>
    <col width="11.2" customWidth="1" min="55" max="55"/>
    <col width="11.2" customWidth="1" min="56" max="56"/>
    <col width="11.2" customWidth="1" min="57" max="57"/>
    <col width="11.2" customWidth="1" min="58" max="58"/>
    <col width="11.2" customWidth="1" min="59" max="59"/>
    <col width="11.2" customWidth="1" min="60" max="60"/>
    <col width="11.2" customWidth="1" min="61" max="61"/>
    <col width="11.2" customWidth="1" min="62" max="62"/>
    <col width="11.2" customWidth="1" min="63" max="63"/>
    <col width="11.2" customWidth="1" min="64" max="64"/>
    <col width="11.2" customWidth="1" min="65" max="65"/>
    <col width="11.2" customWidth="1" min="66" max="66"/>
    <col width="11.2" customWidth="1" min="67" max="67"/>
    <col width="11.2" customWidth="1" min="68" max="68"/>
    <col width="11.2" customWidth="1" min="69" max="69"/>
    <col width="82" customWidth="1" min="70" max="70"/>
  </cols>
  <sheetData>
    <row r="1" ht="24" customHeight="1">
      <c r="A1" s="1" t="inlineStr">
        <is>
          <t>MaxLinear, Inc. (NASDAQ: MXL)  —  Integrated 3-Statement Financial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光模块模拟前端：PAM4 DSP / TIA / Driver 量价驱动 | 历史 2016–2025A + 2026H1A | 预测 2026H2–2028E | 单位: $000（另有标注除外）</t>
        </is>
      </c>
    </row>
    <row r="3">
      <c r="A3" s="4" t="inlineStr">
        <is>
          <t>数据来源: SEC 10-K/10-Q XBRL、Q2'26财报、公司电话会。蓝色=假设/硬编码；黑色=公式。模型日期: 2026-08-18。Fabless RF/混合信号，拐点为数据中心800G/1.6T光学。</t>
        </is>
      </c>
    </row>
    <row r="5">
      <c r="A5" s="5" t="inlineStr">
        <is>
          <t>图例</t>
        </is>
      </c>
      <c r="B5" s="6" t="inlineStr">
        <is>
          <t>蓝色字体 = 假设 / 历史硬编码 (hardcode)</t>
        </is>
      </c>
      <c r="C5" s="7" t="inlineStr">
        <is>
          <t>黑色字体 = 公式 / 勾稽</t>
        </is>
      </c>
      <c r="D5" s="8" t="inlineStr">
        <is>
          <t>灰底 = 实际</t>
        </is>
      </c>
      <c r="E5" s="9" t="inlineStr">
        <is>
          <t>黄底 = 预测</t>
        </is>
      </c>
      <c r="F5" s="10" t="inlineStr">
        <is>
          <t>橙底 = 2026A/E 混合</t>
        </is>
      </c>
      <c r="G5" s="11" t="inlineStr">
        <is>
          <t>最右列为 Notes</t>
        </is>
      </c>
    </row>
    <row r="7">
      <c r="B7" s="5" t="inlineStr">
        <is>
          <t>Period type</t>
        </is>
      </c>
      <c r="D7" s="12" t="inlineStr">
        <is>
          <t>Annual</t>
        </is>
      </c>
      <c r="E7" s="12" t="inlineStr">
        <is>
          <t>Annual</t>
        </is>
      </c>
      <c r="F7" s="12" t="inlineStr">
        <is>
          <t>Annual</t>
        </is>
      </c>
      <c r="G7" s="12" t="inlineStr">
        <is>
          <t>Annual</t>
        </is>
      </c>
      <c r="H7" s="12" t="inlineStr">
        <is>
          <t>Annual</t>
        </is>
      </c>
      <c r="I7" s="12" t="inlineStr">
        <is>
          <t>Annual</t>
        </is>
      </c>
      <c r="J7" s="12" t="inlineStr">
        <is>
          <t>Annual</t>
        </is>
      </c>
      <c r="K7" s="12" t="inlineStr">
        <is>
          <t>Annual</t>
        </is>
      </c>
      <c r="L7" s="12" t="inlineStr">
        <is>
          <t>Annual</t>
        </is>
      </c>
      <c r="M7" s="12" t="inlineStr">
        <is>
          <t>Annual</t>
        </is>
      </c>
      <c r="N7" s="13" t="inlineStr">
        <is>
          <t>Annual</t>
        </is>
      </c>
      <c r="O7" s="14" t="inlineStr">
        <is>
          <t>Annual</t>
        </is>
      </c>
      <c r="P7" s="14" t="inlineStr">
        <is>
          <t>Annual</t>
        </is>
      </c>
      <c r="Q7" s="2" t="n"/>
      <c r="R7" s="12" t="inlineStr">
        <is>
          <t>Quarterly</t>
        </is>
      </c>
      <c r="S7" s="12" t="inlineStr">
        <is>
          <t>Quarterly</t>
        </is>
      </c>
      <c r="T7" s="12" t="inlineStr">
        <is>
          <t>Quarterly</t>
        </is>
      </c>
      <c r="U7" s="12" t="inlineStr">
        <is>
          <t>Quarterly</t>
        </is>
      </c>
      <c r="V7" s="12" t="inlineStr">
        <is>
          <t>Quarterly</t>
        </is>
      </c>
      <c r="W7" s="12" t="inlineStr">
        <is>
          <t>Quarterly</t>
        </is>
      </c>
      <c r="X7" s="12" t="inlineStr">
        <is>
          <t>Quarterly</t>
        </is>
      </c>
      <c r="Y7" s="12" t="inlineStr">
        <is>
          <t>Quarterly</t>
        </is>
      </c>
      <c r="Z7" s="12" t="inlineStr">
        <is>
          <t>Quarterly</t>
        </is>
      </c>
      <c r="AA7" s="12" t="inlineStr">
        <is>
          <t>Quarterly</t>
        </is>
      </c>
      <c r="AB7" s="12" t="inlineStr">
        <is>
          <t>Quarterly</t>
        </is>
      </c>
      <c r="AC7" s="12" t="inlineStr">
        <is>
          <t>Quarterly</t>
        </is>
      </c>
      <c r="AD7" s="12" t="inlineStr">
        <is>
          <t>Quarterly</t>
        </is>
      </c>
      <c r="AE7" s="12" t="inlineStr">
        <is>
          <t>Quarterly</t>
        </is>
      </c>
      <c r="AF7" s="12" t="inlineStr">
        <is>
          <t>Quarterly</t>
        </is>
      </c>
      <c r="AG7" s="12" t="inlineStr">
        <is>
          <t>Quarterly</t>
        </is>
      </c>
      <c r="AH7" s="12" t="inlineStr">
        <is>
          <t>Quarterly</t>
        </is>
      </c>
      <c r="AI7" s="12" t="inlineStr">
        <is>
          <t>Quarterly</t>
        </is>
      </c>
      <c r="AJ7" s="12" t="inlineStr">
        <is>
          <t>Quarterly</t>
        </is>
      </c>
      <c r="AK7" s="12" t="inlineStr">
        <is>
          <t>Quarterly</t>
        </is>
      </c>
      <c r="AL7" s="12" t="inlineStr">
        <is>
          <t>Quarterly</t>
        </is>
      </c>
      <c r="AM7" s="12" t="inlineStr">
        <is>
          <t>Quarterly</t>
        </is>
      </c>
      <c r="AN7" s="12" t="inlineStr">
        <is>
          <t>Quarterly</t>
        </is>
      </c>
      <c r="AO7" s="12" t="inlineStr">
        <is>
          <t>Quarterly</t>
        </is>
      </c>
      <c r="AP7" s="12" t="inlineStr">
        <is>
          <t>Quarterly</t>
        </is>
      </c>
      <c r="AQ7" s="12" t="inlineStr">
        <is>
          <t>Quarterly</t>
        </is>
      </c>
      <c r="AR7" s="12" t="inlineStr">
        <is>
          <t>Quarterly</t>
        </is>
      </c>
      <c r="AS7" s="12" t="inlineStr">
        <is>
          <t>Quarterly</t>
        </is>
      </c>
      <c r="AT7" s="12" t="inlineStr">
        <is>
          <t>Quarterly</t>
        </is>
      </c>
      <c r="AU7" s="12" t="inlineStr">
        <is>
          <t>Quarterly</t>
        </is>
      </c>
      <c r="AV7" s="12" t="inlineStr">
        <is>
          <t>Quarterly</t>
        </is>
      </c>
      <c r="AW7" s="12" t="inlineStr">
        <is>
          <t>Quarterly</t>
        </is>
      </c>
      <c r="AX7" s="12" t="inlineStr">
        <is>
          <t>Quarterly</t>
        </is>
      </c>
      <c r="AY7" s="12" t="inlineStr">
        <is>
          <t>Quarterly</t>
        </is>
      </c>
      <c r="AZ7" s="12" t="inlineStr">
        <is>
          <t>Quarterly</t>
        </is>
      </c>
      <c r="BA7" s="12" t="inlineStr">
        <is>
          <t>Quarterly</t>
        </is>
      </c>
      <c r="BB7" s="12" t="inlineStr">
        <is>
          <t>Quarterly</t>
        </is>
      </c>
      <c r="BC7" s="12" t="inlineStr">
        <is>
          <t>Quarterly</t>
        </is>
      </c>
      <c r="BD7" s="12" t="inlineStr">
        <is>
          <t>Quarterly</t>
        </is>
      </c>
      <c r="BE7" s="12" t="inlineStr">
        <is>
          <t>Quarterly</t>
        </is>
      </c>
      <c r="BF7" s="12" t="inlineStr">
        <is>
          <t>Quarterly</t>
        </is>
      </c>
      <c r="BG7" s="12" t="inlineStr">
        <is>
          <t>Quarterly</t>
        </is>
      </c>
      <c r="BH7" s="14" t="inlineStr">
        <is>
          <t>Quarterly</t>
        </is>
      </c>
      <c r="BI7" s="14" t="inlineStr">
        <is>
          <t>Quarterly</t>
        </is>
      </c>
      <c r="BJ7" s="14" t="inlineStr">
        <is>
          <t>Quarterly</t>
        </is>
      </c>
      <c r="BK7" s="14" t="inlineStr">
        <is>
          <t>Quarterly</t>
        </is>
      </c>
      <c r="BL7" s="14" t="inlineStr">
        <is>
          <t>Quarterly</t>
        </is>
      </c>
      <c r="BM7" s="14" t="inlineStr">
        <is>
          <t>Quarterly</t>
        </is>
      </c>
      <c r="BN7" s="14" t="inlineStr">
        <is>
          <t>Quarterly</t>
        </is>
      </c>
      <c r="BO7" s="14" t="inlineStr">
        <is>
          <t>Quarterly</t>
        </is>
      </c>
      <c r="BP7" s="14" t="inlineStr">
        <is>
          <t>Quarterly</t>
        </is>
      </c>
      <c r="BQ7" s="14" t="inlineStr">
        <is>
          <t>Quarterly</t>
        </is>
      </c>
      <c r="BR7" s="15" t="inlineStr">
        <is>
          <t>Notes / 假设依据</t>
        </is>
      </c>
    </row>
    <row r="8">
      <c r="B8" s="5" t="inlineStr">
        <is>
          <t>Fiscal year</t>
        </is>
      </c>
      <c r="D8" s="16" t="n">
        <v>2016</v>
      </c>
      <c r="E8" s="16" t="n">
        <v>2017</v>
      </c>
      <c r="F8" s="16" t="n">
        <v>2018</v>
      </c>
      <c r="G8" s="16" t="n">
        <v>2019</v>
      </c>
      <c r="H8" s="16" t="n">
        <v>2020</v>
      </c>
      <c r="I8" s="16" t="n">
        <v>2021</v>
      </c>
      <c r="J8" s="16" t="n">
        <v>2022</v>
      </c>
      <c r="K8" s="16" t="n">
        <v>2023</v>
      </c>
      <c r="L8" s="16" t="n">
        <v>2024</v>
      </c>
      <c r="M8" s="16" t="n">
        <v>2025</v>
      </c>
      <c r="N8" s="17" t="n">
        <v>2026</v>
      </c>
      <c r="O8" s="18" t="n">
        <v>2027</v>
      </c>
      <c r="P8" s="18" t="n">
        <v>2028</v>
      </c>
      <c r="Q8" s="2" t="n"/>
      <c r="R8" s="16" t="n">
        <v>2016</v>
      </c>
      <c r="S8" s="16" t="n">
        <v>2016</v>
      </c>
      <c r="T8" s="16" t="n">
        <v>2016</v>
      </c>
      <c r="U8" s="16" t="n">
        <v>2016</v>
      </c>
      <c r="V8" s="16" t="n">
        <v>2017</v>
      </c>
      <c r="W8" s="16" t="n">
        <v>2017</v>
      </c>
      <c r="X8" s="16" t="n">
        <v>2017</v>
      </c>
      <c r="Y8" s="16" t="n">
        <v>2017</v>
      </c>
      <c r="Z8" s="16" t="n">
        <v>2018</v>
      </c>
      <c r="AA8" s="16" t="n">
        <v>2018</v>
      </c>
      <c r="AB8" s="16" t="n">
        <v>2018</v>
      </c>
      <c r="AC8" s="16" t="n">
        <v>2018</v>
      </c>
      <c r="AD8" s="16" t="n">
        <v>2019</v>
      </c>
      <c r="AE8" s="16" t="n">
        <v>2019</v>
      </c>
      <c r="AF8" s="16" t="n">
        <v>2019</v>
      </c>
      <c r="AG8" s="16" t="n">
        <v>2019</v>
      </c>
      <c r="AH8" s="16" t="n">
        <v>2020</v>
      </c>
      <c r="AI8" s="16" t="n">
        <v>2020</v>
      </c>
      <c r="AJ8" s="16" t="n">
        <v>2020</v>
      </c>
      <c r="AK8" s="16" t="n">
        <v>2020</v>
      </c>
      <c r="AL8" s="16" t="n">
        <v>2021</v>
      </c>
      <c r="AM8" s="16" t="n">
        <v>2021</v>
      </c>
      <c r="AN8" s="16" t="n">
        <v>2021</v>
      </c>
      <c r="AO8" s="16" t="n">
        <v>2021</v>
      </c>
      <c r="AP8" s="16" t="n">
        <v>2022</v>
      </c>
      <c r="AQ8" s="16" t="n">
        <v>2022</v>
      </c>
      <c r="AR8" s="16" t="n">
        <v>2022</v>
      </c>
      <c r="AS8" s="16" t="n">
        <v>2022</v>
      </c>
      <c r="AT8" s="16" t="n">
        <v>2023</v>
      </c>
      <c r="AU8" s="16" t="n">
        <v>2023</v>
      </c>
      <c r="AV8" s="16" t="n">
        <v>2023</v>
      </c>
      <c r="AW8" s="16" t="n">
        <v>2023</v>
      </c>
      <c r="AX8" s="16" t="n">
        <v>2024</v>
      </c>
      <c r="AY8" s="16" t="n">
        <v>2024</v>
      </c>
      <c r="AZ8" s="16" t="n">
        <v>2024</v>
      </c>
      <c r="BA8" s="16" t="n">
        <v>2024</v>
      </c>
      <c r="BB8" s="16" t="n">
        <v>2025</v>
      </c>
      <c r="BC8" s="16" t="n">
        <v>2025</v>
      </c>
      <c r="BD8" s="16" t="n">
        <v>2025</v>
      </c>
      <c r="BE8" s="16" t="n">
        <v>2025</v>
      </c>
      <c r="BF8" s="16" t="n">
        <v>2026</v>
      </c>
      <c r="BG8" s="16" t="n">
        <v>2026</v>
      </c>
      <c r="BH8" s="18" t="n">
        <v>2026</v>
      </c>
      <c r="BI8" s="18" t="n">
        <v>2026</v>
      </c>
      <c r="BJ8" s="18" t="n">
        <v>2027</v>
      </c>
      <c r="BK8" s="18" t="n">
        <v>2027</v>
      </c>
      <c r="BL8" s="18" t="n">
        <v>2027</v>
      </c>
      <c r="BM8" s="18" t="n">
        <v>2027</v>
      </c>
      <c r="BN8" s="18" t="n">
        <v>2028</v>
      </c>
      <c r="BO8" s="18" t="n">
        <v>2028</v>
      </c>
      <c r="BP8" s="18" t="n">
        <v>2028</v>
      </c>
      <c r="BQ8" s="18" t="n">
        <v>2028</v>
      </c>
    </row>
    <row r="9">
      <c r="B9" s="5" t="inlineStr">
        <is>
          <t>Period</t>
        </is>
      </c>
      <c r="D9" s="12" t="inlineStr">
        <is>
          <t>FY2016</t>
        </is>
      </c>
      <c r="E9" s="12" t="inlineStr">
        <is>
          <t>FY2017</t>
        </is>
      </c>
      <c r="F9" s="12" t="inlineStr">
        <is>
          <t>FY2018</t>
        </is>
      </c>
      <c r="G9" s="12" t="inlineStr">
        <is>
          <t>FY2019</t>
        </is>
      </c>
      <c r="H9" s="12" t="inlineStr">
        <is>
          <t>FY2020</t>
        </is>
      </c>
      <c r="I9" s="12" t="inlineStr">
        <is>
          <t>FY2021</t>
        </is>
      </c>
      <c r="J9" s="12" t="inlineStr">
        <is>
          <t>FY2022</t>
        </is>
      </c>
      <c r="K9" s="12" t="inlineStr">
        <is>
          <t>FY2023</t>
        </is>
      </c>
      <c r="L9" s="12" t="inlineStr">
        <is>
          <t>FY2024</t>
        </is>
      </c>
      <c r="M9" s="12" t="inlineStr">
        <is>
          <t>FY2025</t>
        </is>
      </c>
      <c r="N9" s="13" t="inlineStr">
        <is>
          <t>FY2026</t>
        </is>
      </c>
      <c r="O9" s="14" t="inlineStr">
        <is>
          <t>FY2027</t>
        </is>
      </c>
      <c r="P9" s="14" t="inlineStr">
        <is>
          <t>FY2028</t>
        </is>
      </c>
      <c r="Q9" s="2" t="n"/>
      <c r="R9" s="12" t="inlineStr">
        <is>
          <t>Q1 2016</t>
        </is>
      </c>
      <c r="S9" s="12" t="inlineStr">
        <is>
          <t>Q2 2016</t>
        </is>
      </c>
      <c r="T9" s="12" t="inlineStr">
        <is>
          <t>Q3 2016</t>
        </is>
      </c>
      <c r="U9" s="12" t="inlineStr">
        <is>
          <t>Q4 2016</t>
        </is>
      </c>
      <c r="V9" s="12" t="inlineStr">
        <is>
          <t>Q1 2017</t>
        </is>
      </c>
      <c r="W9" s="12" t="inlineStr">
        <is>
          <t>Q2 2017</t>
        </is>
      </c>
      <c r="X9" s="12" t="inlineStr">
        <is>
          <t>Q3 2017</t>
        </is>
      </c>
      <c r="Y9" s="12" t="inlineStr">
        <is>
          <t>Q4 2017</t>
        </is>
      </c>
      <c r="Z9" s="12" t="inlineStr">
        <is>
          <t>Q1 2018</t>
        </is>
      </c>
      <c r="AA9" s="12" t="inlineStr">
        <is>
          <t>Q2 2018</t>
        </is>
      </c>
      <c r="AB9" s="12" t="inlineStr">
        <is>
          <t>Q3 2018</t>
        </is>
      </c>
      <c r="AC9" s="12" t="inlineStr">
        <is>
          <t>Q4 2018</t>
        </is>
      </c>
      <c r="AD9" s="12" t="inlineStr">
        <is>
          <t>Q1 2019</t>
        </is>
      </c>
      <c r="AE9" s="12" t="inlineStr">
        <is>
          <t>Q2 2019</t>
        </is>
      </c>
      <c r="AF9" s="12" t="inlineStr">
        <is>
          <t>Q3 2019</t>
        </is>
      </c>
      <c r="AG9" s="12" t="inlineStr">
        <is>
          <t>Q4 2019</t>
        </is>
      </c>
      <c r="AH9" s="12" t="inlineStr">
        <is>
          <t>Q1 2020</t>
        </is>
      </c>
      <c r="AI9" s="12" t="inlineStr">
        <is>
          <t>Q2 2020</t>
        </is>
      </c>
      <c r="AJ9" s="12" t="inlineStr">
        <is>
          <t>Q3 2020</t>
        </is>
      </c>
      <c r="AK9" s="12" t="inlineStr">
        <is>
          <t>Q4 2020</t>
        </is>
      </c>
      <c r="AL9" s="12" t="inlineStr">
        <is>
          <t>Q1 2021</t>
        </is>
      </c>
      <c r="AM9" s="12" t="inlineStr">
        <is>
          <t>Q2 2021</t>
        </is>
      </c>
      <c r="AN9" s="12" t="inlineStr">
        <is>
          <t>Q3 2021</t>
        </is>
      </c>
      <c r="AO9" s="12" t="inlineStr">
        <is>
          <t>Q4 2021</t>
        </is>
      </c>
      <c r="AP9" s="12" t="inlineStr">
        <is>
          <t>Q1 2022</t>
        </is>
      </c>
      <c r="AQ9" s="12" t="inlineStr">
        <is>
          <t>Q2 2022</t>
        </is>
      </c>
      <c r="AR9" s="12" t="inlineStr">
        <is>
          <t>Q3 2022</t>
        </is>
      </c>
      <c r="AS9" s="12" t="inlineStr">
        <is>
          <t>Q4 2022</t>
        </is>
      </c>
      <c r="AT9" s="12" t="inlineStr">
        <is>
          <t>Q1 2023</t>
        </is>
      </c>
      <c r="AU9" s="12" t="inlineStr">
        <is>
          <t>Q2 2023</t>
        </is>
      </c>
      <c r="AV9" s="12" t="inlineStr">
        <is>
          <t>Q3 2023</t>
        </is>
      </c>
      <c r="AW9" s="12" t="inlineStr">
        <is>
          <t>Q4 2023</t>
        </is>
      </c>
      <c r="AX9" s="12" t="inlineStr">
        <is>
          <t>Q1 2024</t>
        </is>
      </c>
      <c r="AY9" s="12" t="inlineStr">
        <is>
          <t>Q2 2024</t>
        </is>
      </c>
      <c r="AZ9" s="12" t="inlineStr">
        <is>
          <t>Q3 2024</t>
        </is>
      </c>
      <c r="BA9" s="12" t="inlineStr">
        <is>
          <t>Q4 2024</t>
        </is>
      </c>
      <c r="BB9" s="12" t="inlineStr">
        <is>
          <t>Q1 2025</t>
        </is>
      </c>
      <c r="BC9" s="12" t="inlineStr">
        <is>
          <t>Q2 2025</t>
        </is>
      </c>
      <c r="BD9" s="12" t="inlineStr">
        <is>
          <t>Q3 2025</t>
        </is>
      </c>
      <c r="BE9" s="12" t="inlineStr">
        <is>
          <t>Q4 2025</t>
        </is>
      </c>
      <c r="BF9" s="12" t="inlineStr">
        <is>
          <t>Q1 2026</t>
        </is>
      </c>
      <c r="BG9" s="12" t="inlineStr">
        <is>
          <t>Q2 2026</t>
        </is>
      </c>
      <c r="BH9" s="14" t="inlineStr">
        <is>
          <t>Q3 2026</t>
        </is>
      </c>
      <c r="BI9" s="14" t="inlineStr">
        <is>
          <t>Q4 2026</t>
        </is>
      </c>
      <c r="BJ9" s="14" t="inlineStr">
        <is>
          <t>Q1 2027</t>
        </is>
      </c>
      <c r="BK9" s="14" t="inlineStr">
        <is>
          <t>Q2 2027</t>
        </is>
      </c>
      <c r="BL9" s="14" t="inlineStr">
        <is>
          <t>Q3 2027</t>
        </is>
      </c>
      <c r="BM9" s="14" t="inlineStr">
        <is>
          <t>Q4 2027</t>
        </is>
      </c>
      <c r="BN9" s="14" t="inlineStr">
        <is>
          <t>Q1 2028</t>
        </is>
      </c>
      <c r="BO9" s="14" t="inlineStr">
        <is>
          <t>Q2 2028</t>
        </is>
      </c>
      <c r="BP9" s="14" t="inlineStr">
        <is>
          <t>Q3 2028</t>
        </is>
      </c>
      <c r="BQ9" s="14" t="inlineStr">
        <is>
          <t>Q4 2028</t>
        </is>
      </c>
    </row>
    <row r="10">
      <c r="B10" s="5" t="inlineStr">
        <is>
          <t>Status</t>
        </is>
      </c>
      <c r="D10" s="19" t="inlineStr">
        <is>
          <t>Actual</t>
        </is>
      </c>
      <c r="E10" s="19" t="inlineStr">
        <is>
          <t>Actual</t>
        </is>
      </c>
      <c r="F10" s="19" t="inlineStr">
        <is>
          <t>Actual</t>
        </is>
      </c>
      <c r="G10" s="19" t="inlineStr">
        <is>
          <t>Actual</t>
        </is>
      </c>
      <c r="H10" s="19" t="inlineStr">
        <is>
          <t>Actual</t>
        </is>
      </c>
      <c r="I10" s="19" t="inlineStr">
        <is>
          <t>Actual</t>
        </is>
      </c>
      <c r="J10" s="19" t="inlineStr">
        <is>
          <t>Actual</t>
        </is>
      </c>
      <c r="K10" s="19" t="inlineStr">
        <is>
          <t>Actual</t>
        </is>
      </c>
      <c r="L10" s="19" t="inlineStr">
        <is>
          <t>Actual</t>
        </is>
      </c>
      <c r="M10" s="19" t="inlineStr">
        <is>
          <t>Actual</t>
        </is>
      </c>
      <c r="N10" s="20" t="inlineStr">
        <is>
          <t>Actual+Forecast</t>
        </is>
      </c>
      <c r="O10" s="21" t="inlineStr">
        <is>
          <t>Forecast</t>
        </is>
      </c>
      <c r="P10" s="21" t="inlineStr">
        <is>
          <t>Forecast</t>
        </is>
      </c>
      <c r="Q10" s="2" t="n"/>
      <c r="R10" s="19" t="inlineStr">
        <is>
          <t>Actual</t>
        </is>
      </c>
      <c r="S10" s="19" t="inlineStr">
        <is>
          <t>Actual</t>
        </is>
      </c>
      <c r="T10" s="19" t="inlineStr">
        <is>
          <t>Actual</t>
        </is>
      </c>
      <c r="U10" s="19" t="inlineStr">
        <is>
          <t>Actual</t>
        </is>
      </c>
      <c r="V10" s="19" t="inlineStr">
        <is>
          <t>Actual</t>
        </is>
      </c>
      <c r="W10" s="19" t="inlineStr">
        <is>
          <t>Actual</t>
        </is>
      </c>
      <c r="X10" s="19" t="inlineStr">
        <is>
          <t>Actual</t>
        </is>
      </c>
      <c r="Y10" s="19" t="inlineStr">
        <is>
          <t>Actual</t>
        </is>
      </c>
      <c r="Z10" s="19" t="inlineStr">
        <is>
          <t>Actual</t>
        </is>
      </c>
      <c r="AA10" s="19" t="inlineStr">
        <is>
          <t>Actual</t>
        </is>
      </c>
      <c r="AB10" s="19" t="inlineStr">
        <is>
          <t>Actual</t>
        </is>
      </c>
      <c r="AC10" s="19" t="inlineStr">
        <is>
          <t>Actual</t>
        </is>
      </c>
      <c r="AD10" s="19" t="inlineStr">
        <is>
          <t>Actual</t>
        </is>
      </c>
      <c r="AE10" s="19" t="inlineStr">
        <is>
          <t>Actual</t>
        </is>
      </c>
      <c r="AF10" s="19" t="inlineStr">
        <is>
          <t>Actual</t>
        </is>
      </c>
      <c r="AG10" s="19" t="inlineStr">
        <is>
          <t>Actual</t>
        </is>
      </c>
      <c r="AH10" s="19" t="inlineStr">
        <is>
          <t>Actual</t>
        </is>
      </c>
      <c r="AI10" s="19" t="inlineStr">
        <is>
          <t>Actual</t>
        </is>
      </c>
      <c r="AJ10" s="19" t="inlineStr">
        <is>
          <t>Actual</t>
        </is>
      </c>
      <c r="AK10" s="19" t="inlineStr">
        <is>
          <t>Actual</t>
        </is>
      </c>
      <c r="AL10" s="19" t="inlineStr">
        <is>
          <t>Actual</t>
        </is>
      </c>
      <c r="AM10" s="19" t="inlineStr">
        <is>
          <t>Actual</t>
        </is>
      </c>
      <c r="AN10" s="19" t="inlineStr">
        <is>
          <t>Actual</t>
        </is>
      </c>
      <c r="AO10" s="19" t="inlineStr">
        <is>
          <t>Actual</t>
        </is>
      </c>
      <c r="AP10" s="19" t="inlineStr">
        <is>
          <t>Actual</t>
        </is>
      </c>
      <c r="AQ10" s="19" t="inlineStr">
        <is>
          <t>Actual</t>
        </is>
      </c>
      <c r="AR10" s="19" t="inlineStr">
        <is>
          <t>Actual</t>
        </is>
      </c>
      <c r="AS10" s="19" t="inlineStr">
        <is>
          <t>Actual</t>
        </is>
      </c>
      <c r="AT10" s="19" t="inlineStr">
        <is>
          <t>Actual</t>
        </is>
      </c>
      <c r="AU10" s="19" t="inlineStr">
        <is>
          <t>Actual</t>
        </is>
      </c>
      <c r="AV10" s="19" t="inlineStr">
        <is>
          <t>Actual</t>
        </is>
      </c>
      <c r="AW10" s="19" t="inlineStr">
        <is>
          <t>Actual</t>
        </is>
      </c>
      <c r="AX10" s="19" t="inlineStr">
        <is>
          <t>Actual</t>
        </is>
      </c>
      <c r="AY10" s="19" t="inlineStr">
        <is>
          <t>Actual</t>
        </is>
      </c>
      <c r="AZ10" s="19" t="inlineStr">
        <is>
          <t>Actual</t>
        </is>
      </c>
      <c r="BA10" s="19" t="inlineStr">
        <is>
          <t>Actual</t>
        </is>
      </c>
      <c r="BB10" s="19" t="inlineStr">
        <is>
          <t>Actual</t>
        </is>
      </c>
      <c r="BC10" s="19" t="inlineStr">
        <is>
          <t>Actual</t>
        </is>
      </c>
      <c r="BD10" s="19" t="inlineStr">
        <is>
          <t>Actual</t>
        </is>
      </c>
      <c r="BE10" s="19" t="inlineStr">
        <is>
          <t>Actual</t>
        </is>
      </c>
      <c r="BF10" s="19" t="inlineStr">
        <is>
          <t>Actual</t>
        </is>
      </c>
      <c r="BG10" s="19" t="inlineStr">
        <is>
          <t>Actual</t>
        </is>
      </c>
      <c r="BH10" s="21" t="inlineStr">
        <is>
          <t>Forecast</t>
        </is>
      </c>
      <c r="BI10" s="21" t="inlineStr">
        <is>
          <t>Forecast</t>
        </is>
      </c>
      <c r="BJ10" s="21" t="inlineStr">
        <is>
          <t>Forecast</t>
        </is>
      </c>
      <c r="BK10" s="21" t="inlineStr">
        <is>
          <t>Forecast</t>
        </is>
      </c>
      <c r="BL10" s="21" t="inlineStr">
        <is>
          <t>Forecast</t>
        </is>
      </c>
      <c r="BM10" s="21" t="inlineStr">
        <is>
          <t>Forecast</t>
        </is>
      </c>
      <c r="BN10" s="21" t="inlineStr">
        <is>
          <t>Forecast</t>
        </is>
      </c>
      <c r="BO10" s="21" t="inlineStr">
        <is>
          <t>Forecast</t>
        </is>
      </c>
      <c r="BP10" s="21" t="inlineStr">
        <is>
          <t>Forecast</t>
        </is>
      </c>
      <c r="BQ10" s="21" t="inlineStr">
        <is>
          <t>Forecast</t>
        </is>
      </c>
    </row>
    <row r="11">
      <c r="B11" s="5" t="inlineStr">
        <is>
          <t>Days in period</t>
        </is>
      </c>
      <c r="D11" s="22" t="n">
        <v>365</v>
      </c>
      <c r="E11" s="22" t="n">
        <v>365</v>
      </c>
      <c r="F11" s="22" t="n">
        <v>365</v>
      </c>
      <c r="G11" s="22" t="n">
        <v>365</v>
      </c>
      <c r="H11" s="22" t="n">
        <v>365</v>
      </c>
      <c r="I11" s="22" t="n">
        <v>365</v>
      </c>
      <c r="J11" s="22" t="n">
        <v>365</v>
      </c>
      <c r="K11" s="22" t="n">
        <v>365</v>
      </c>
      <c r="L11" s="22" t="n">
        <v>365</v>
      </c>
      <c r="M11" s="22" t="n">
        <v>365</v>
      </c>
      <c r="N11" s="23" t="n">
        <v>365</v>
      </c>
      <c r="O11" s="24" t="n">
        <v>365</v>
      </c>
      <c r="P11" s="24" t="n">
        <v>365</v>
      </c>
      <c r="Q11" s="2" t="n"/>
      <c r="R11" s="22" t="n">
        <v>91</v>
      </c>
      <c r="S11" s="22" t="n">
        <v>91</v>
      </c>
      <c r="T11" s="22" t="n">
        <v>91</v>
      </c>
      <c r="U11" s="22" t="n">
        <v>92</v>
      </c>
      <c r="V11" s="22" t="n">
        <v>91</v>
      </c>
      <c r="W11" s="22" t="n">
        <v>91</v>
      </c>
      <c r="X11" s="22" t="n">
        <v>91</v>
      </c>
      <c r="Y11" s="22" t="n">
        <v>92</v>
      </c>
      <c r="Z11" s="22" t="n">
        <v>91</v>
      </c>
      <c r="AA11" s="22" t="n">
        <v>91</v>
      </c>
      <c r="AB11" s="22" t="n">
        <v>91</v>
      </c>
      <c r="AC11" s="22" t="n">
        <v>92</v>
      </c>
      <c r="AD11" s="22" t="n">
        <v>91</v>
      </c>
      <c r="AE11" s="22" t="n">
        <v>91</v>
      </c>
      <c r="AF11" s="22" t="n">
        <v>91</v>
      </c>
      <c r="AG11" s="22" t="n">
        <v>92</v>
      </c>
      <c r="AH11" s="22" t="n">
        <v>91</v>
      </c>
      <c r="AI11" s="22" t="n">
        <v>91</v>
      </c>
      <c r="AJ11" s="22" t="n">
        <v>91</v>
      </c>
      <c r="AK11" s="22" t="n">
        <v>92</v>
      </c>
      <c r="AL11" s="22" t="n">
        <v>91</v>
      </c>
      <c r="AM11" s="22" t="n">
        <v>91</v>
      </c>
      <c r="AN11" s="22" t="n">
        <v>91</v>
      </c>
      <c r="AO11" s="22" t="n">
        <v>92</v>
      </c>
      <c r="AP11" s="22" t="n">
        <v>91</v>
      </c>
      <c r="AQ11" s="22" t="n">
        <v>91</v>
      </c>
      <c r="AR11" s="22" t="n">
        <v>91</v>
      </c>
      <c r="AS11" s="22" t="n">
        <v>92</v>
      </c>
      <c r="AT11" s="22" t="n">
        <v>91</v>
      </c>
      <c r="AU11" s="22" t="n">
        <v>91</v>
      </c>
      <c r="AV11" s="22" t="n">
        <v>91</v>
      </c>
      <c r="AW11" s="22" t="n">
        <v>92</v>
      </c>
      <c r="AX11" s="22" t="n">
        <v>91</v>
      </c>
      <c r="AY11" s="22" t="n">
        <v>91</v>
      </c>
      <c r="AZ11" s="22" t="n">
        <v>91</v>
      </c>
      <c r="BA11" s="22" t="n">
        <v>92</v>
      </c>
      <c r="BB11" s="22" t="n">
        <v>91</v>
      </c>
      <c r="BC11" s="22" t="n">
        <v>91</v>
      </c>
      <c r="BD11" s="22" t="n">
        <v>91</v>
      </c>
      <c r="BE11" s="22" t="n">
        <v>92</v>
      </c>
      <c r="BF11" s="22" t="n">
        <v>91</v>
      </c>
      <c r="BG11" s="22" t="n">
        <v>91</v>
      </c>
      <c r="BH11" s="24" t="n">
        <v>91</v>
      </c>
      <c r="BI11" s="24" t="n">
        <v>92</v>
      </c>
      <c r="BJ11" s="24" t="n">
        <v>91</v>
      </c>
      <c r="BK11" s="24" t="n">
        <v>91</v>
      </c>
      <c r="BL11" s="24" t="n">
        <v>91</v>
      </c>
      <c r="BM11" s="24" t="n">
        <v>92</v>
      </c>
      <c r="BN11" s="24" t="n">
        <v>91</v>
      </c>
      <c r="BO11" s="24" t="n">
        <v>91</v>
      </c>
      <c r="BP11" s="24" t="n">
        <v>91</v>
      </c>
      <c r="BQ11" s="24" t="n">
        <v>92</v>
      </c>
    </row>
    <row r="13">
      <c r="A13" s="25" t="inlineStr">
        <is>
          <t>I.  REVENUE DRIVERS  —  PAM4 DSP / TIA / Driver 量价 + Broadband / Connectivity / Industrial</t>
        </is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</row>
    <row r="14">
      <c r="A14" s="4" t="inlineStr">
        <is>
          <t>DSP</t>
        </is>
      </c>
      <c r="B14" s="7" t="inlineStr">
        <is>
          <t>PAM4 DSP units</t>
        </is>
      </c>
      <c r="C14" s="4" t="inlineStr">
        <is>
          <t>k units</t>
        </is>
      </c>
      <c r="D14" s="26">
        <f>IF(D15=0,0,D16/D15)</f>
        <v/>
      </c>
      <c r="E14" s="26">
        <f>IF(E15=0,0,E16/E15)</f>
        <v/>
      </c>
      <c r="F14" s="26">
        <f>IF(F15=0,0,F16/F15)</f>
        <v/>
      </c>
      <c r="G14" s="26">
        <f>IF(G15=0,0,G16/G15)</f>
        <v/>
      </c>
      <c r="H14" s="26">
        <f>IF(H15=0,0,H16/H15)</f>
        <v/>
      </c>
      <c r="I14" s="26">
        <f>IF(I15=0,0,I16/I15)</f>
        <v/>
      </c>
      <c r="J14" s="26">
        <f>IF(J15=0,0,J16/J15)</f>
        <v/>
      </c>
      <c r="K14" s="26">
        <f>IF(K15=0,0,K16/K15)</f>
        <v/>
      </c>
      <c r="L14" s="26">
        <f>IF(L15=0,0,L16/L15)</f>
        <v/>
      </c>
      <c r="M14" s="26">
        <f>IF(M15=0,0,M16/M15)</f>
        <v/>
      </c>
      <c r="N14" s="27">
        <f>BF14+BG14+BH14+BI14</f>
        <v/>
      </c>
      <c r="O14" s="28">
        <f>BJ14+BK14+BL14+BM14</f>
        <v/>
      </c>
      <c r="P14" s="28">
        <f>BN14+BO14+BP14+BQ14</f>
        <v/>
      </c>
      <c r="R14" s="26">
        <f>IF(R15=0,0,R16/R15)</f>
        <v/>
      </c>
      <c r="S14" s="26">
        <f>IF(S15=0,0,S16/S15)</f>
        <v/>
      </c>
      <c r="T14" s="26">
        <f>IF(T15=0,0,T16/T15)</f>
        <v/>
      </c>
      <c r="U14" s="26">
        <f>IF(U15=0,0,U16/U15)</f>
        <v/>
      </c>
      <c r="V14" s="26">
        <f>IF(V15=0,0,V16/V15)</f>
        <v/>
      </c>
      <c r="W14" s="26">
        <f>IF(W15=0,0,W16/W15)</f>
        <v/>
      </c>
      <c r="X14" s="26">
        <f>IF(X15=0,0,X16/X15)</f>
        <v/>
      </c>
      <c r="Y14" s="26">
        <f>IF(Y15=0,0,Y16/Y15)</f>
        <v/>
      </c>
      <c r="Z14" s="26">
        <f>IF(Z15=0,0,Z16/Z15)</f>
        <v/>
      </c>
      <c r="AA14" s="26">
        <f>IF(AA15=0,0,AA16/AA15)</f>
        <v/>
      </c>
      <c r="AB14" s="26">
        <f>IF(AB15=0,0,AB16/AB15)</f>
        <v/>
      </c>
      <c r="AC14" s="26">
        <f>IF(AC15=0,0,AC16/AC15)</f>
        <v/>
      </c>
      <c r="AD14" s="26">
        <f>IF(AD15=0,0,AD16/AD15)</f>
        <v/>
      </c>
      <c r="AE14" s="26">
        <f>IF(AE15=0,0,AE16/AE15)</f>
        <v/>
      </c>
      <c r="AF14" s="26">
        <f>IF(AF15=0,0,AF16/AF15)</f>
        <v/>
      </c>
      <c r="AG14" s="26">
        <f>IF(AG15=0,0,AG16/AG15)</f>
        <v/>
      </c>
      <c r="AH14" s="26">
        <f>IF(AH15=0,0,AH16/AH15)</f>
        <v/>
      </c>
      <c r="AI14" s="26">
        <f>IF(AI15=0,0,AI16/AI15)</f>
        <v/>
      </c>
      <c r="AJ14" s="26">
        <f>IF(AJ15=0,0,AJ16/AJ15)</f>
        <v/>
      </c>
      <c r="AK14" s="26">
        <f>IF(AK15=0,0,AK16/AK15)</f>
        <v/>
      </c>
      <c r="AL14" s="26">
        <f>IF(AL15=0,0,AL16/AL15)</f>
        <v/>
      </c>
      <c r="AM14" s="26">
        <f>IF(AM15=0,0,AM16/AM15)</f>
        <v/>
      </c>
      <c r="AN14" s="26">
        <f>IF(AN15=0,0,AN16/AN15)</f>
        <v/>
      </c>
      <c r="AO14" s="26">
        <f>IF(AO15=0,0,AO16/AO15)</f>
        <v/>
      </c>
      <c r="AP14" s="26">
        <f>IF(AP15=0,0,AP16/AP15)</f>
        <v/>
      </c>
      <c r="AQ14" s="26">
        <f>IF(AQ15=0,0,AQ16/AQ15)</f>
        <v/>
      </c>
      <c r="AR14" s="26">
        <f>IF(AR15=0,0,AR16/AR15)</f>
        <v/>
      </c>
      <c r="AS14" s="26">
        <f>IF(AS15=0,0,AS16/AS15)</f>
        <v/>
      </c>
      <c r="AT14" s="26">
        <f>IF(AT15=0,0,AT16/AT15)</f>
        <v/>
      </c>
      <c r="AU14" s="26">
        <f>IF(AU15=0,0,AU16/AU15)</f>
        <v/>
      </c>
      <c r="AV14" s="26">
        <f>IF(AV15=0,0,AV16/AV15)</f>
        <v/>
      </c>
      <c r="AW14" s="26">
        <f>IF(AW15=0,0,AW16/AW15)</f>
        <v/>
      </c>
      <c r="AX14" s="26">
        <f>IF(AX15=0,0,AX16/AX15)</f>
        <v/>
      </c>
      <c r="AY14" s="26">
        <f>IF(AY15=0,0,AY16/AY15)</f>
        <v/>
      </c>
      <c r="AZ14" s="26">
        <f>IF(AZ15=0,0,AZ16/AZ15)</f>
        <v/>
      </c>
      <c r="BA14" s="26">
        <f>IF(BA15=0,0,BA16/BA15)</f>
        <v/>
      </c>
      <c r="BB14" s="26">
        <f>IF(BB15=0,0,BB16/BB15)</f>
        <v/>
      </c>
      <c r="BC14" s="26">
        <f>IF(BC15=0,0,BC16/BC15)</f>
        <v/>
      </c>
      <c r="BD14" s="26">
        <f>IF(BD15=0,0,BD16/BD15)</f>
        <v/>
      </c>
      <c r="BE14" s="26">
        <f>IF(BE15=0,0,BE16/BE15)</f>
        <v/>
      </c>
      <c r="BF14" s="26">
        <f>IF(BF15=0,0,BF16/BF15)</f>
        <v/>
      </c>
      <c r="BG14" s="26">
        <f>IF(BG15=0,0,BG16/BG15)</f>
        <v/>
      </c>
      <c r="BH14" s="29" t="n">
        <v>1160</v>
      </c>
      <c r="BI14" s="29" t="n">
        <v>1280</v>
      </c>
      <c r="BJ14" s="29" t="n">
        <v>1380</v>
      </c>
      <c r="BK14" s="29" t="n">
        <v>1500</v>
      </c>
      <c r="BL14" s="29" t="n">
        <v>1620</v>
      </c>
      <c r="BM14" s="29" t="n">
        <v>1750</v>
      </c>
      <c r="BN14" s="29" t="n">
        <v>1850</v>
      </c>
      <c r="BO14" s="29" t="n">
        <v>1960</v>
      </c>
      <c r="BP14" s="29" t="n">
        <v>2080</v>
      </c>
      <c r="BQ14" s="29" t="n">
        <v>2200</v>
      </c>
      <c r="BR14" s="30" t="inlineStr">
        <is>
          <t>Keystone 800G + Rushmore 1.6T DSP出货量。公司不披露颗数；历史=光学DSP收入/ASP（公式）；预测=爬坡假设（蓝）。2026光学展望$210–230m，本模型FY26光学约$241m（Q3指引$210–220m公司总收入下的运行速率，略高于年初光学指引）。</t>
        </is>
      </c>
    </row>
    <row r="15">
      <c r="A15" s="4" t="inlineStr">
        <is>
          <t>DSP</t>
        </is>
      </c>
      <c r="B15" s="7" t="inlineStr">
        <is>
          <t>PAM4 DSP blended ASP</t>
        </is>
      </c>
      <c r="C15" s="4" t="inlineStr">
        <is>
          <t>$ / unit</t>
        </is>
      </c>
      <c r="D15" s="31" t="n">
        <v>0</v>
      </c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48</v>
      </c>
      <c r="M15" s="31" t="n">
        <v>49</v>
      </c>
      <c r="N15" s="32">
        <f>IF(N14=0,0,N16/N14)</f>
        <v/>
      </c>
      <c r="O15" s="33">
        <f>IF(O14=0,0,O16/O14)</f>
        <v/>
      </c>
      <c r="P15" s="33">
        <f>IF(P14=0,0,P16/P14)</f>
        <v/>
      </c>
      <c r="R15" s="31" t="n">
        <v>50</v>
      </c>
      <c r="S15" s="31" t="n">
        <v>50</v>
      </c>
      <c r="T15" s="31" t="n">
        <v>50</v>
      </c>
      <c r="U15" s="31" t="n">
        <v>50</v>
      </c>
      <c r="V15" s="31" t="n">
        <v>50</v>
      </c>
      <c r="W15" s="31" t="n">
        <v>50</v>
      </c>
      <c r="X15" s="31" t="n">
        <v>50</v>
      </c>
      <c r="Y15" s="31" t="n">
        <v>50</v>
      </c>
      <c r="Z15" s="31" t="n">
        <v>50</v>
      </c>
      <c r="AA15" s="31" t="n">
        <v>50</v>
      </c>
      <c r="AB15" s="31" t="n">
        <v>50</v>
      </c>
      <c r="AC15" s="31" t="n">
        <v>50</v>
      </c>
      <c r="AD15" s="31" t="n">
        <v>50</v>
      </c>
      <c r="AE15" s="31" t="n">
        <v>50</v>
      </c>
      <c r="AF15" s="31" t="n">
        <v>50</v>
      </c>
      <c r="AG15" s="31" t="n">
        <v>50</v>
      </c>
      <c r="AH15" s="31" t="n">
        <v>50</v>
      </c>
      <c r="AI15" s="31" t="n">
        <v>50</v>
      </c>
      <c r="AJ15" s="31" t="n">
        <v>50</v>
      </c>
      <c r="AK15" s="31" t="n">
        <v>50</v>
      </c>
      <c r="AL15" s="31" t="n">
        <v>50</v>
      </c>
      <c r="AM15" s="31" t="n">
        <v>50</v>
      </c>
      <c r="AN15" s="31" t="n">
        <v>50</v>
      </c>
      <c r="AO15" s="31" t="n">
        <v>50</v>
      </c>
      <c r="AP15" s="31" t="n">
        <v>50</v>
      </c>
      <c r="AQ15" s="31" t="n">
        <v>50</v>
      </c>
      <c r="AR15" s="31" t="n">
        <v>50</v>
      </c>
      <c r="AS15" s="31" t="n">
        <v>50</v>
      </c>
      <c r="AT15" s="31" t="n">
        <v>50</v>
      </c>
      <c r="AU15" s="31" t="n">
        <v>50</v>
      </c>
      <c r="AV15" s="31" t="n">
        <v>50</v>
      </c>
      <c r="AW15" s="31" t="n">
        <v>50</v>
      </c>
      <c r="AX15" s="31" t="n">
        <v>47</v>
      </c>
      <c r="AY15" s="31" t="n">
        <v>47.7</v>
      </c>
      <c r="AZ15" s="31" t="n">
        <v>48.3</v>
      </c>
      <c r="BA15" s="31" t="n">
        <v>49</v>
      </c>
      <c r="BB15" s="31" t="n">
        <v>48</v>
      </c>
      <c r="BC15" s="31" t="n">
        <v>48.7</v>
      </c>
      <c r="BD15" s="31" t="n">
        <v>49.3</v>
      </c>
      <c r="BE15" s="31" t="n">
        <v>50</v>
      </c>
      <c r="BF15" s="31" t="n">
        <v>49.5</v>
      </c>
      <c r="BG15" s="31" t="n">
        <v>50</v>
      </c>
      <c r="BH15" s="34" t="n">
        <v>50</v>
      </c>
      <c r="BI15" s="34" t="n">
        <v>51</v>
      </c>
      <c r="BJ15" s="34" t="n">
        <v>56</v>
      </c>
      <c r="BK15" s="34" t="n">
        <v>60</v>
      </c>
      <c r="BL15" s="34" t="n">
        <v>64</v>
      </c>
      <c r="BM15" s="34" t="n">
        <v>68</v>
      </c>
      <c r="BN15" s="34" t="n">
        <v>74</v>
      </c>
      <c r="BO15" s="34" t="n">
        <v>78</v>
      </c>
      <c r="BP15" s="34" t="n">
        <v>82</v>
      </c>
      <c r="BQ15" s="34" t="n">
        <v>86</v>
      </c>
      <c r="BR15" s="30" t="inlineStr">
        <is>
          <t>混合ASP。800G CMOS 5nm Keystone工作假设$45–55；1.6T Rushmore $80–120。2026以800G为主~$50；2027–28随1.6T占比提升至$70–86。行业模块BOM中DSP通常为最大芯片成本项。</t>
        </is>
      </c>
    </row>
    <row r="16">
      <c r="A16" s="4" t="inlineStr">
        <is>
          <t>DSP</t>
        </is>
      </c>
      <c r="B16" s="7" t="inlineStr">
        <is>
          <t>PAM4 DSP revenue</t>
        </is>
      </c>
      <c r="C16" s="4" t="inlineStr">
        <is>
          <t>$000</t>
        </is>
      </c>
      <c r="D16" s="35" t="n">
        <v>0</v>
      </c>
      <c r="E16" s="35" t="n">
        <v>0</v>
      </c>
      <c r="F16" s="35" t="n">
        <v>0</v>
      </c>
      <c r="G16" s="35" t="n">
        <v>0</v>
      </c>
      <c r="H16" s="35" t="n">
        <v>0</v>
      </c>
      <c r="I16" s="35" t="n">
        <v>0</v>
      </c>
      <c r="J16" s="35" t="n">
        <v>0</v>
      </c>
      <c r="K16" s="35" t="n">
        <v>0</v>
      </c>
      <c r="L16" s="35" t="n">
        <v>7872</v>
      </c>
      <c r="M16" s="35" t="n">
        <v>45920</v>
      </c>
      <c r="N16" s="36">
        <f>BF16+BG16+BH16+BI16</f>
        <v/>
      </c>
      <c r="O16" s="37">
        <f>BJ16+BK16+BL16+BM16</f>
        <v/>
      </c>
      <c r="P16" s="37">
        <f>BN16+BO16+BP16+BQ16</f>
        <v/>
      </c>
      <c r="R16" s="35" t="n">
        <v>0</v>
      </c>
      <c r="S16" s="35" t="n">
        <v>0</v>
      </c>
      <c r="T16" s="35" t="n">
        <v>0</v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n">
        <v>0</v>
      </c>
      <c r="AE16" s="35" t="n">
        <v>0</v>
      </c>
      <c r="AF16" s="35" t="n">
        <v>0</v>
      </c>
      <c r="AG16" s="35" t="n">
        <v>0</v>
      </c>
      <c r="AH16" s="35" t="n">
        <v>0</v>
      </c>
      <c r="AI16" s="35" t="n">
        <v>0</v>
      </c>
      <c r="AJ16" s="35" t="n">
        <v>0</v>
      </c>
      <c r="AK16" s="35" t="n">
        <v>0</v>
      </c>
      <c r="AL16" s="35" t="n">
        <v>0</v>
      </c>
      <c r="AM16" s="35" t="n">
        <v>0</v>
      </c>
      <c r="AN16" s="35" t="n">
        <v>0</v>
      </c>
      <c r="AO16" s="35" t="n">
        <v>0</v>
      </c>
      <c r="AP16" s="35" t="n">
        <v>0</v>
      </c>
      <c r="AQ16" s="35" t="n">
        <v>0</v>
      </c>
      <c r="AR16" s="35" t="n">
        <v>0</v>
      </c>
      <c r="AS16" s="35" t="n">
        <v>0</v>
      </c>
      <c r="AT16" s="35" t="n">
        <v>0</v>
      </c>
      <c r="AU16" s="35" t="n">
        <v>0</v>
      </c>
      <c r="AV16" s="35" t="n">
        <v>0</v>
      </c>
      <c r="AW16" s="35" t="n">
        <v>0</v>
      </c>
      <c r="AX16" s="35" t="n">
        <v>2080</v>
      </c>
      <c r="AY16" s="35" t="n">
        <v>2008</v>
      </c>
      <c r="AZ16" s="35" t="n">
        <v>1771</v>
      </c>
      <c r="BA16" s="35" t="n">
        <v>2012</v>
      </c>
      <c r="BB16" s="35" t="n">
        <v>4920</v>
      </c>
      <c r="BC16" s="35" t="n">
        <v>9840</v>
      </c>
      <c r="BD16" s="35" t="n">
        <v>14760</v>
      </c>
      <c r="BE16" s="35" t="n">
        <v>16400</v>
      </c>
      <c r="BF16" s="35" t="n">
        <v>28000</v>
      </c>
      <c r="BG16" s="35" t="n">
        <v>41600</v>
      </c>
      <c r="BH16" s="37">
        <f>BH14*BH15</f>
        <v/>
      </c>
      <c r="BI16" s="37">
        <f>BI14*BI15</f>
        <v/>
      </c>
      <c r="BJ16" s="37">
        <f>BJ14*BJ15</f>
        <v/>
      </c>
      <c r="BK16" s="37">
        <f>BK14*BK15</f>
        <v/>
      </c>
      <c r="BL16" s="37">
        <f>BL14*BL15</f>
        <v/>
      </c>
      <c r="BM16" s="37">
        <f>BM14*BM15</f>
        <v/>
      </c>
      <c r="BN16" s="37">
        <f>BN14*BN15</f>
        <v/>
      </c>
      <c r="BO16" s="37">
        <f>BO14*BO15</f>
        <v/>
      </c>
      <c r="BP16" s="37">
        <f>BP14*BP15</f>
        <v/>
      </c>
      <c r="BQ16" s="37">
        <f>BQ14*BQ15</f>
        <v/>
      </c>
      <c r="BR16" s="30" t="inlineStr">
        <is>
          <t>DSP收入=出货量(k)×ASP。2024起从Infrastructure中拆出；2016–23为0（当时基础设施以无线回传/HPA为主）。Q2'26基础设施$85m，光学已占大部分。</t>
        </is>
      </c>
    </row>
    <row r="17">
      <c r="A17" s="4" t="inlineStr">
        <is>
          <t>DSP</t>
        </is>
      </c>
      <c r="B17" s="7" t="inlineStr">
        <is>
          <t>DSP unit COGS</t>
        </is>
      </c>
      <c r="C17" s="4" t="inlineStr">
        <is>
          <t>$ / unit</t>
        </is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22</v>
      </c>
      <c r="M17" s="31" t="n">
        <v>21.8</v>
      </c>
      <c r="N17" s="32">
        <f>IF(N14=0,0,N18/N14)</f>
        <v/>
      </c>
      <c r="O17" s="33">
        <f>IF(O14=0,0,O18/O14)</f>
        <v/>
      </c>
      <c r="P17" s="33">
        <f>IF(P14=0,0,P18/P14)</f>
        <v/>
      </c>
      <c r="R17" s="31" t="n">
        <v>22</v>
      </c>
      <c r="S17" s="31" t="n">
        <v>22</v>
      </c>
      <c r="T17" s="31" t="n">
        <v>22</v>
      </c>
      <c r="U17" s="31" t="n">
        <v>22</v>
      </c>
      <c r="V17" s="31" t="n">
        <v>22</v>
      </c>
      <c r="W17" s="31" t="n">
        <v>22</v>
      </c>
      <c r="X17" s="31" t="n">
        <v>22</v>
      </c>
      <c r="Y17" s="31" t="n">
        <v>22</v>
      </c>
      <c r="Z17" s="31" t="n">
        <v>22</v>
      </c>
      <c r="AA17" s="31" t="n">
        <v>22</v>
      </c>
      <c r="AB17" s="31" t="n">
        <v>22</v>
      </c>
      <c r="AC17" s="31" t="n">
        <v>22</v>
      </c>
      <c r="AD17" s="31" t="n">
        <v>22</v>
      </c>
      <c r="AE17" s="31" t="n">
        <v>22</v>
      </c>
      <c r="AF17" s="31" t="n">
        <v>22</v>
      </c>
      <c r="AG17" s="31" t="n">
        <v>22</v>
      </c>
      <c r="AH17" s="31" t="n">
        <v>22</v>
      </c>
      <c r="AI17" s="31" t="n">
        <v>22</v>
      </c>
      <c r="AJ17" s="31" t="n">
        <v>22</v>
      </c>
      <c r="AK17" s="31" t="n">
        <v>22</v>
      </c>
      <c r="AL17" s="31" t="n">
        <v>22</v>
      </c>
      <c r="AM17" s="31" t="n">
        <v>22</v>
      </c>
      <c r="AN17" s="31" t="n">
        <v>22</v>
      </c>
      <c r="AO17" s="31" t="n">
        <v>22</v>
      </c>
      <c r="AP17" s="31" t="n">
        <v>22</v>
      </c>
      <c r="AQ17" s="31" t="n">
        <v>22</v>
      </c>
      <c r="AR17" s="31" t="n">
        <v>22</v>
      </c>
      <c r="AS17" s="31" t="n">
        <v>22</v>
      </c>
      <c r="AT17" s="31" t="n">
        <v>22</v>
      </c>
      <c r="AU17" s="31" t="n">
        <v>22</v>
      </c>
      <c r="AV17" s="31" t="n">
        <v>22</v>
      </c>
      <c r="AW17" s="31" t="n">
        <v>22</v>
      </c>
      <c r="AX17" s="31" t="n">
        <v>22</v>
      </c>
      <c r="AY17" s="31" t="n">
        <v>22</v>
      </c>
      <c r="AZ17" s="31" t="n">
        <v>22</v>
      </c>
      <c r="BA17" s="31" t="n">
        <v>22</v>
      </c>
      <c r="BB17" s="31" t="n">
        <v>21.8</v>
      </c>
      <c r="BC17" s="31" t="n">
        <v>21.8</v>
      </c>
      <c r="BD17" s="31" t="n">
        <v>21.8</v>
      </c>
      <c r="BE17" s="31" t="n">
        <v>21.8</v>
      </c>
      <c r="BF17" s="31" t="n">
        <v>21.2</v>
      </c>
      <c r="BG17" s="31" t="n">
        <v>21.2</v>
      </c>
      <c r="BH17" s="34" t="n">
        <v>21</v>
      </c>
      <c r="BI17" s="34" t="n">
        <v>20.8</v>
      </c>
      <c r="BJ17" s="34" t="n">
        <v>22</v>
      </c>
      <c r="BK17" s="34" t="n">
        <v>23</v>
      </c>
      <c r="BL17" s="34" t="n">
        <v>24</v>
      </c>
      <c r="BM17" s="34" t="n">
        <v>25</v>
      </c>
      <c r="BN17" s="34" t="n">
        <v>26.5</v>
      </c>
      <c r="BO17" s="34" t="n">
        <v>27.5</v>
      </c>
      <c r="BP17" s="34" t="n">
        <v>28.5</v>
      </c>
      <c r="BQ17" s="34" t="n">
        <v>29.5</v>
      </c>
      <c r="BR17" s="30" t="inlineStr">
        <is>
          <t>单颗COGS（含TSMC晶圆、封测、特许权）。5nm Keystone成本高于成熟节点；规模与良率改善使GM维持~58%。预测为蓝字假设。</t>
        </is>
      </c>
    </row>
    <row r="18">
      <c r="A18" s="4" t="inlineStr">
        <is>
          <t>DSP</t>
        </is>
      </c>
      <c r="B18" s="7" t="inlineStr">
        <is>
          <t>DSP COGS</t>
        </is>
      </c>
      <c r="C18" s="4" t="inlineStr">
        <is>
          <t>$000</t>
        </is>
      </c>
      <c r="D18" s="38">
        <f>D14*D17</f>
        <v/>
      </c>
      <c r="E18" s="38">
        <f>E14*E17</f>
        <v/>
      </c>
      <c r="F18" s="38">
        <f>F14*F17</f>
        <v/>
      </c>
      <c r="G18" s="38">
        <f>G14*G17</f>
        <v/>
      </c>
      <c r="H18" s="38">
        <f>H14*H17</f>
        <v/>
      </c>
      <c r="I18" s="38">
        <f>I14*I17</f>
        <v/>
      </c>
      <c r="J18" s="38">
        <f>J14*J17</f>
        <v/>
      </c>
      <c r="K18" s="38">
        <f>K14*K17</f>
        <v/>
      </c>
      <c r="L18" s="38">
        <f>L14*L17</f>
        <v/>
      </c>
      <c r="M18" s="38">
        <f>M14*M17</f>
        <v/>
      </c>
      <c r="N18" s="36">
        <f>BF18+BG18+BH18+BI18</f>
        <v/>
      </c>
      <c r="O18" s="37">
        <f>BJ18+BK18+BL18+BM18</f>
        <v/>
      </c>
      <c r="P18" s="37">
        <f>BN18+BO18+BP18+BQ18</f>
        <v/>
      </c>
      <c r="R18" s="38">
        <f>R14*R17</f>
        <v/>
      </c>
      <c r="S18" s="38">
        <f>S14*S17</f>
        <v/>
      </c>
      <c r="T18" s="38">
        <f>T14*T17</f>
        <v/>
      </c>
      <c r="U18" s="38">
        <f>U14*U17</f>
        <v/>
      </c>
      <c r="V18" s="38">
        <f>V14*V17</f>
        <v/>
      </c>
      <c r="W18" s="38">
        <f>W14*W17</f>
        <v/>
      </c>
      <c r="X18" s="38">
        <f>X14*X17</f>
        <v/>
      </c>
      <c r="Y18" s="38">
        <f>Y14*Y17</f>
        <v/>
      </c>
      <c r="Z18" s="38">
        <f>Z14*Z17</f>
        <v/>
      </c>
      <c r="AA18" s="38">
        <f>AA14*AA17</f>
        <v/>
      </c>
      <c r="AB18" s="38">
        <f>AB14*AB17</f>
        <v/>
      </c>
      <c r="AC18" s="38">
        <f>AC14*AC17</f>
        <v/>
      </c>
      <c r="AD18" s="38">
        <f>AD14*AD17</f>
        <v/>
      </c>
      <c r="AE18" s="38">
        <f>AE14*AE17</f>
        <v/>
      </c>
      <c r="AF18" s="38">
        <f>AF14*AF17</f>
        <v/>
      </c>
      <c r="AG18" s="38">
        <f>AG14*AG17</f>
        <v/>
      </c>
      <c r="AH18" s="38">
        <f>AH14*AH17</f>
        <v/>
      </c>
      <c r="AI18" s="38">
        <f>AI14*AI17</f>
        <v/>
      </c>
      <c r="AJ18" s="38">
        <f>AJ14*AJ17</f>
        <v/>
      </c>
      <c r="AK18" s="38">
        <f>AK14*AK17</f>
        <v/>
      </c>
      <c r="AL18" s="38">
        <f>AL14*AL17</f>
        <v/>
      </c>
      <c r="AM18" s="38">
        <f>AM14*AM17</f>
        <v/>
      </c>
      <c r="AN18" s="38">
        <f>AN14*AN17</f>
        <v/>
      </c>
      <c r="AO18" s="38">
        <f>AO14*AO17</f>
        <v/>
      </c>
      <c r="AP18" s="38">
        <f>AP14*AP17</f>
        <v/>
      </c>
      <c r="AQ18" s="38">
        <f>AQ14*AQ17</f>
        <v/>
      </c>
      <c r="AR18" s="38">
        <f>AR14*AR17</f>
        <v/>
      </c>
      <c r="AS18" s="38">
        <f>AS14*AS17</f>
        <v/>
      </c>
      <c r="AT18" s="38">
        <f>AT14*AT17</f>
        <v/>
      </c>
      <c r="AU18" s="38">
        <f>AU14*AU17</f>
        <v/>
      </c>
      <c r="AV18" s="38">
        <f>AV14*AV17</f>
        <v/>
      </c>
      <c r="AW18" s="38">
        <f>AW14*AW17</f>
        <v/>
      </c>
      <c r="AX18" s="38">
        <f>AX14*AX17</f>
        <v/>
      </c>
      <c r="AY18" s="38">
        <f>AY14*AY17</f>
        <v/>
      </c>
      <c r="AZ18" s="38">
        <f>AZ14*AZ17</f>
        <v/>
      </c>
      <c r="BA18" s="38">
        <f>BA14*BA17</f>
        <v/>
      </c>
      <c r="BB18" s="38">
        <f>BB14*BB17</f>
        <v/>
      </c>
      <c r="BC18" s="38">
        <f>BC14*BC17</f>
        <v/>
      </c>
      <c r="BD18" s="38">
        <f>BD14*BD17</f>
        <v/>
      </c>
      <c r="BE18" s="38">
        <f>BE14*BE17</f>
        <v/>
      </c>
      <c r="BF18" s="38">
        <f>BF14*BF17</f>
        <v/>
      </c>
      <c r="BG18" s="38">
        <f>BG14*BG17</f>
        <v/>
      </c>
      <c r="BH18" s="37">
        <f>BH14*BH17</f>
        <v/>
      </c>
      <c r="BI18" s="37">
        <f>BI14*BI17</f>
        <v/>
      </c>
      <c r="BJ18" s="37">
        <f>BJ14*BJ17</f>
        <v/>
      </c>
      <c r="BK18" s="37">
        <f>BK14*BK17</f>
        <v/>
      </c>
      <c r="BL18" s="37">
        <f>BL14*BL17</f>
        <v/>
      </c>
      <c r="BM18" s="37">
        <f>BM14*BM17</f>
        <v/>
      </c>
      <c r="BN18" s="37">
        <f>BN14*BN17</f>
        <v/>
      </c>
      <c r="BO18" s="37">
        <f>BO14*BO17</f>
        <v/>
      </c>
      <c r="BP18" s="37">
        <f>BP14*BP17</f>
        <v/>
      </c>
      <c r="BQ18" s="37">
        <f>BQ14*BQ17</f>
        <v/>
      </c>
      <c r="BR18" s="30" t="inlineStr">
        <is>
          <t>DSP销货成本=量×单颗COGS（公式）。</t>
        </is>
      </c>
    </row>
    <row r="19">
      <c r="A19" s="4" t="inlineStr">
        <is>
          <t>DSP</t>
        </is>
      </c>
      <c r="B19" s="7" t="inlineStr">
        <is>
          <t>DSP gross profit</t>
        </is>
      </c>
      <c r="C19" s="4" t="inlineStr">
        <is>
          <t>$000</t>
        </is>
      </c>
      <c r="D19" s="38">
        <f>D16-D18</f>
        <v/>
      </c>
      <c r="E19" s="38">
        <f>E16-E18</f>
        <v/>
      </c>
      <c r="F19" s="38">
        <f>F16-F18</f>
        <v/>
      </c>
      <c r="G19" s="38">
        <f>G16-G18</f>
        <v/>
      </c>
      <c r="H19" s="38">
        <f>H16-H18</f>
        <v/>
      </c>
      <c r="I19" s="38">
        <f>I16-I18</f>
        <v/>
      </c>
      <c r="J19" s="38">
        <f>J16-J18</f>
        <v/>
      </c>
      <c r="K19" s="38">
        <f>K16-K18</f>
        <v/>
      </c>
      <c r="L19" s="38">
        <f>L16-L18</f>
        <v/>
      </c>
      <c r="M19" s="38">
        <f>M16-M18</f>
        <v/>
      </c>
      <c r="N19" s="36">
        <f>N16-N18</f>
        <v/>
      </c>
      <c r="O19" s="37">
        <f>O16-O18</f>
        <v/>
      </c>
      <c r="P19" s="37">
        <f>P16-P18</f>
        <v/>
      </c>
      <c r="R19" s="38">
        <f>R16-R18</f>
        <v/>
      </c>
      <c r="S19" s="38">
        <f>S16-S18</f>
        <v/>
      </c>
      <c r="T19" s="38">
        <f>T16-T18</f>
        <v/>
      </c>
      <c r="U19" s="38">
        <f>U16-U18</f>
        <v/>
      </c>
      <c r="V19" s="38">
        <f>V16-V18</f>
        <v/>
      </c>
      <c r="W19" s="38">
        <f>W16-W18</f>
        <v/>
      </c>
      <c r="X19" s="38">
        <f>X16-X18</f>
        <v/>
      </c>
      <c r="Y19" s="38">
        <f>Y16-Y18</f>
        <v/>
      </c>
      <c r="Z19" s="38">
        <f>Z16-Z18</f>
        <v/>
      </c>
      <c r="AA19" s="38">
        <f>AA16-AA18</f>
        <v/>
      </c>
      <c r="AB19" s="38">
        <f>AB16-AB18</f>
        <v/>
      </c>
      <c r="AC19" s="38">
        <f>AC16-AC18</f>
        <v/>
      </c>
      <c r="AD19" s="38">
        <f>AD16-AD18</f>
        <v/>
      </c>
      <c r="AE19" s="38">
        <f>AE16-AE18</f>
        <v/>
      </c>
      <c r="AF19" s="38">
        <f>AF16-AF18</f>
        <v/>
      </c>
      <c r="AG19" s="38">
        <f>AG16-AG18</f>
        <v/>
      </c>
      <c r="AH19" s="38">
        <f>AH16-AH18</f>
        <v/>
      </c>
      <c r="AI19" s="38">
        <f>AI16-AI18</f>
        <v/>
      </c>
      <c r="AJ19" s="38">
        <f>AJ16-AJ18</f>
        <v/>
      </c>
      <c r="AK19" s="38">
        <f>AK16-AK18</f>
        <v/>
      </c>
      <c r="AL19" s="38">
        <f>AL16-AL18</f>
        <v/>
      </c>
      <c r="AM19" s="38">
        <f>AM16-AM18</f>
        <v/>
      </c>
      <c r="AN19" s="38">
        <f>AN16-AN18</f>
        <v/>
      </c>
      <c r="AO19" s="38">
        <f>AO16-AO18</f>
        <v/>
      </c>
      <c r="AP19" s="38">
        <f>AP16-AP18</f>
        <v/>
      </c>
      <c r="AQ19" s="38">
        <f>AQ16-AQ18</f>
        <v/>
      </c>
      <c r="AR19" s="38">
        <f>AR16-AR18</f>
        <v/>
      </c>
      <c r="AS19" s="38">
        <f>AS16-AS18</f>
        <v/>
      </c>
      <c r="AT19" s="38">
        <f>AT16-AT18</f>
        <v/>
      </c>
      <c r="AU19" s="38">
        <f>AU16-AU18</f>
        <v/>
      </c>
      <c r="AV19" s="38">
        <f>AV16-AV18</f>
        <v/>
      </c>
      <c r="AW19" s="38">
        <f>AW16-AW18</f>
        <v/>
      </c>
      <c r="AX19" s="38">
        <f>AX16-AX18</f>
        <v/>
      </c>
      <c r="AY19" s="38">
        <f>AY16-AY18</f>
        <v/>
      </c>
      <c r="AZ19" s="38">
        <f>AZ16-AZ18</f>
        <v/>
      </c>
      <c r="BA19" s="38">
        <f>BA16-BA18</f>
        <v/>
      </c>
      <c r="BB19" s="38">
        <f>BB16-BB18</f>
        <v/>
      </c>
      <c r="BC19" s="38">
        <f>BC16-BC18</f>
        <v/>
      </c>
      <c r="BD19" s="38">
        <f>BD16-BD18</f>
        <v/>
      </c>
      <c r="BE19" s="38">
        <f>BE16-BE18</f>
        <v/>
      </c>
      <c r="BF19" s="38">
        <f>BF16-BF18</f>
        <v/>
      </c>
      <c r="BG19" s="38">
        <f>BG16-BG18</f>
        <v/>
      </c>
      <c r="BH19" s="37">
        <f>BH16-BH18</f>
        <v/>
      </c>
      <c r="BI19" s="37">
        <f>BI16-BI18</f>
        <v/>
      </c>
      <c r="BJ19" s="37">
        <f>BJ16-BJ18</f>
        <v/>
      </c>
      <c r="BK19" s="37">
        <f>BK16-BK18</f>
        <v/>
      </c>
      <c r="BL19" s="37">
        <f>BL16-BL18</f>
        <v/>
      </c>
      <c r="BM19" s="37">
        <f>BM16-BM18</f>
        <v/>
      </c>
      <c r="BN19" s="37">
        <f>BN16-BN18</f>
        <v/>
      </c>
      <c r="BO19" s="37">
        <f>BO16-BO18</f>
        <v/>
      </c>
      <c r="BP19" s="37">
        <f>BP16-BP18</f>
        <v/>
      </c>
      <c r="BQ19" s="37">
        <f>BQ16-BQ18</f>
        <v/>
      </c>
      <c r="BR19" s="30" t="inlineStr">
        <is>
          <t>DSP毛利=收入−COGS（公式）。</t>
        </is>
      </c>
    </row>
    <row r="20">
      <c r="A20" s="4" t="inlineStr">
        <is>
          <t>DSP</t>
        </is>
      </c>
      <c r="B20" s="7" t="inlineStr">
        <is>
          <t>DSP gross margin</t>
        </is>
      </c>
      <c r="C20" s="4" t="inlineStr">
        <is>
          <t>%</t>
        </is>
      </c>
      <c r="D20" s="39">
        <f>IF(D16=0,0,D19/D16)</f>
        <v/>
      </c>
      <c r="E20" s="39">
        <f>IF(E16=0,0,E19/E16)</f>
        <v/>
      </c>
      <c r="F20" s="39">
        <f>IF(F16=0,0,F19/F16)</f>
        <v/>
      </c>
      <c r="G20" s="39">
        <f>IF(G16=0,0,G19/G16)</f>
        <v/>
      </c>
      <c r="H20" s="39">
        <f>IF(H16=0,0,H19/H16)</f>
        <v/>
      </c>
      <c r="I20" s="39">
        <f>IF(I16=0,0,I19/I16)</f>
        <v/>
      </c>
      <c r="J20" s="39">
        <f>IF(J16=0,0,J19/J16)</f>
        <v/>
      </c>
      <c r="K20" s="39">
        <f>IF(K16=0,0,K19/K16)</f>
        <v/>
      </c>
      <c r="L20" s="39">
        <f>IF(L16=0,0,L19/L16)</f>
        <v/>
      </c>
      <c r="M20" s="39">
        <f>IF(M16=0,0,M19/M16)</f>
        <v/>
      </c>
      <c r="N20" s="40">
        <f>IF(N16=0,0,N19/N16)</f>
        <v/>
      </c>
      <c r="O20" s="41">
        <f>IF(O16=0,0,O19/O16)</f>
        <v/>
      </c>
      <c r="P20" s="41">
        <f>IF(P16=0,0,P19/P16)</f>
        <v/>
      </c>
      <c r="R20" s="39">
        <f>IF(R16=0,0,R19/R16)</f>
        <v/>
      </c>
      <c r="S20" s="39">
        <f>IF(S16=0,0,S19/S16)</f>
        <v/>
      </c>
      <c r="T20" s="39">
        <f>IF(T16=0,0,T19/T16)</f>
        <v/>
      </c>
      <c r="U20" s="39">
        <f>IF(U16=0,0,U19/U16)</f>
        <v/>
      </c>
      <c r="V20" s="39">
        <f>IF(V16=0,0,V19/V16)</f>
        <v/>
      </c>
      <c r="W20" s="39">
        <f>IF(W16=0,0,W19/W16)</f>
        <v/>
      </c>
      <c r="X20" s="39">
        <f>IF(X16=0,0,X19/X16)</f>
        <v/>
      </c>
      <c r="Y20" s="39">
        <f>IF(Y16=0,0,Y19/Y16)</f>
        <v/>
      </c>
      <c r="Z20" s="39">
        <f>IF(Z16=0,0,Z19/Z16)</f>
        <v/>
      </c>
      <c r="AA20" s="39">
        <f>IF(AA16=0,0,AA19/AA16)</f>
        <v/>
      </c>
      <c r="AB20" s="39">
        <f>IF(AB16=0,0,AB19/AB16)</f>
        <v/>
      </c>
      <c r="AC20" s="39">
        <f>IF(AC16=0,0,AC19/AC16)</f>
        <v/>
      </c>
      <c r="AD20" s="39">
        <f>IF(AD16=0,0,AD19/AD16)</f>
        <v/>
      </c>
      <c r="AE20" s="39">
        <f>IF(AE16=0,0,AE19/AE16)</f>
        <v/>
      </c>
      <c r="AF20" s="39">
        <f>IF(AF16=0,0,AF19/AF16)</f>
        <v/>
      </c>
      <c r="AG20" s="39">
        <f>IF(AG16=0,0,AG19/AG16)</f>
        <v/>
      </c>
      <c r="AH20" s="39">
        <f>IF(AH16=0,0,AH19/AH16)</f>
        <v/>
      </c>
      <c r="AI20" s="39">
        <f>IF(AI16=0,0,AI19/AI16)</f>
        <v/>
      </c>
      <c r="AJ20" s="39">
        <f>IF(AJ16=0,0,AJ19/AJ16)</f>
        <v/>
      </c>
      <c r="AK20" s="39">
        <f>IF(AK16=0,0,AK19/AK16)</f>
        <v/>
      </c>
      <c r="AL20" s="39">
        <f>IF(AL16=0,0,AL19/AL16)</f>
        <v/>
      </c>
      <c r="AM20" s="39">
        <f>IF(AM16=0,0,AM19/AM16)</f>
        <v/>
      </c>
      <c r="AN20" s="39">
        <f>IF(AN16=0,0,AN19/AN16)</f>
        <v/>
      </c>
      <c r="AO20" s="39">
        <f>IF(AO16=0,0,AO19/AO16)</f>
        <v/>
      </c>
      <c r="AP20" s="39">
        <f>IF(AP16=0,0,AP19/AP16)</f>
        <v/>
      </c>
      <c r="AQ20" s="39">
        <f>IF(AQ16=0,0,AQ19/AQ16)</f>
        <v/>
      </c>
      <c r="AR20" s="39">
        <f>IF(AR16=0,0,AR19/AR16)</f>
        <v/>
      </c>
      <c r="AS20" s="39">
        <f>IF(AS16=0,0,AS19/AS16)</f>
        <v/>
      </c>
      <c r="AT20" s="39">
        <f>IF(AT16=0,0,AT19/AT16)</f>
        <v/>
      </c>
      <c r="AU20" s="39">
        <f>IF(AU16=0,0,AU19/AU16)</f>
        <v/>
      </c>
      <c r="AV20" s="39">
        <f>IF(AV16=0,0,AV19/AV16)</f>
        <v/>
      </c>
      <c r="AW20" s="39">
        <f>IF(AW16=0,0,AW19/AW16)</f>
        <v/>
      </c>
      <c r="AX20" s="39">
        <f>IF(AX16=0,0,AX19/AX16)</f>
        <v/>
      </c>
      <c r="AY20" s="39">
        <f>IF(AY16=0,0,AY19/AY16)</f>
        <v/>
      </c>
      <c r="AZ20" s="39">
        <f>IF(AZ16=0,0,AZ19/AZ16)</f>
        <v/>
      </c>
      <c r="BA20" s="39">
        <f>IF(BA16=0,0,BA19/BA16)</f>
        <v/>
      </c>
      <c r="BB20" s="39">
        <f>IF(BB16=0,0,BB19/BB16)</f>
        <v/>
      </c>
      <c r="BC20" s="39">
        <f>IF(BC16=0,0,BC19/BC16)</f>
        <v/>
      </c>
      <c r="BD20" s="39">
        <f>IF(BD16=0,0,BD19/BD16)</f>
        <v/>
      </c>
      <c r="BE20" s="39">
        <f>IF(BE16=0,0,BE19/BE16)</f>
        <v/>
      </c>
      <c r="BF20" s="39">
        <f>IF(BF16=0,0,BF19/BF16)</f>
        <v/>
      </c>
      <c r="BG20" s="39">
        <f>IF(BG16=0,0,BG19/BG16)</f>
        <v/>
      </c>
      <c r="BH20" s="41">
        <f>IF(BH16=0,0,BH19/BH16)</f>
        <v/>
      </c>
      <c r="BI20" s="41">
        <f>IF(BI16=0,0,BI19/BI16)</f>
        <v/>
      </c>
      <c r="BJ20" s="41">
        <f>IF(BJ16=0,0,BJ19/BJ16)</f>
        <v/>
      </c>
      <c r="BK20" s="41">
        <f>IF(BK16=0,0,BK19/BK16)</f>
        <v/>
      </c>
      <c r="BL20" s="41">
        <f>IF(BL16=0,0,BL19/BL16)</f>
        <v/>
      </c>
      <c r="BM20" s="41">
        <f>IF(BM16=0,0,BM19/BM16)</f>
        <v/>
      </c>
      <c r="BN20" s="41">
        <f>IF(BN16=0,0,BN19/BN16)</f>
        <v/>
      </c>
      <c r="BO20" s="41">
        <f>IF(BO16=0,0,BO19/BO16)</f>
        <v/>
      </c>
      <c r="BP20" s="41">
        <f>IF(BP16=0,0,BP19/BP16)</f>
        <v/>
      </c>
      <c r="BQ20" s="41">
        <f>IF(BQ16=0,0,BQ19/BQ16)</f>
        <v/>
      </c>
      <c r="BR20" s="30" t="inlineStr">
        <is>
          <t>DSP毛利率=毛利/收入（公式）。</t>
        </is>
      </c>
    </row>
    <row r="21">
      <c r="A21" s="4" t="inlineStr">
        <is>
          <t>TIA</t>
        </is>
      </c>
      <c r="B21" s="7" t="inlineStr">
        <is>
          <t>TIA units</t>
        </is>
      </c>
      <c r="C21" s="4" t="inlineStr">
        <is>
          <t>k units</t>
        </is>
      </c>
      <c r="D21" s="26">
        <f>IF(D22=0,0,D23/D22)</f>
        <v/>
      </c>
      <c r="E21" s="26">
        <f>IF(E22=0,0,E23/E22)</f>
        <v/>
      </c>
      <c r="F21" s="26">
        <f>IF(F22=0,0,F23/F22)</f>
        <v/>
      </c>
      <c r="G21" s="26">
        <f>IF(G22=0,0,G23/G22)</f>
        <v/>
      </c>
      <c r="H21" s="26">
        <f>IF(H22=0,0,H23/H22)</f>
        <v/>
      </c>
      <c r="I21" s="26">
        <f>IF(I22=0,0,I23/I22)</f>
        <v/>
      </c>
      <c r="J21" s="26">
        <f>IF(J22=0,0,J23/J22)</f>
        <v/>
      </c>
      <c r="K21" s="26">
        <f>IF(K22=0,0,K23/K22)</f>
        <v/>
      </c>
      <c r="L21" s="26">
        <f>IF(L22=0,0,L23/L22)</f>
        <v/>
      </c>
      <c r="M21" s="26">
        <f>IF(M22=0,0,M23/M22)</f>
        <v/>
      </c>
      <c r="N21" s="27">
        <f>BF21+BG21+BH21+BI21</f>
        <v/>
      </c>
      <c r="O21" s="28">
        <f>BJ21+BK21+BL21+BM21</f>
        <v/>
      </c>
      <c r="P21" s="28">
        <f>BN21+BO21+BP21+BQ21</f>
        <v/>
      </c>
      <c r="R21" s="26">
        <f>IF(R22=0,0,R23/R22)</f>
        <v/>
      </c>
      <c r="S21" s="26">
        <f>IF(S22=0,0,S23/S22)</f>
        <v/>
      </c>
      <c r="T21" s="26">
        <f>IF(T22=0,0,T23/T22)</f>
        <v/>
      </c>
      <c r="U21" s="26">
        <f>IF(U22=0,0,U23/U22)</f>
        <v/>
      </c>
      <c r="V21" s="26">
        <f>IF(V22=0,0,V23/V22)</f>
        <v/>
      </c>
      <c r="W21" s="26">
        <f>IF(W22=0,0,W23/W22)</f>
        <v/>
      </c>
      <c r="X21" s="26">
        <f>IF(X22=0,0,X23/X22)</f>
        <v/>
      </c>
      <c r="Y21" s="26">
        <f>IF(Y22=0,0,Y23/Y22)</f>
        <v/>
      </c>
      <c r="Z21" s="26">
        <f>IF(Z22=0,0,Z23/Z22)</f>
        <v/>
      </c>
      <c r="AA21" s="26">
        <f>IF(AA22=0,0,AA23/AA22)</f>
        <v/>
      </c>
      <c r="AB21" s="26">
        <f>IF(AB22=0,0,AB23/AB22)</f>
        <v/>
      </c>
      <c r="AC21" s="26">
        <f>IF(AC22=0,0,AC23/AC22)</f>
        <v/>
      </c>
      <c r="AD21" s="26">
        <f>IF(AD22=0,0,AD23/AD22)</f>
        <v/>
      </c>
      <c r="AE21" s="26">
        <f>IF(AE22=0,0,AE23/AE22)</f>
        <v/>
      </c>
      <c r="AF21" s="26">
        <f>IF(AF22=0,0,AF23/AF22)</f>
        <v/>
      </c>
      <c r="AG21" s="26">
        <f>IF(AG22=0,0,AG23/AG22)</f>
        <v/>
      </c>
      <c r="AH21" s="26">
        <f>IF(AH22=0,0,AH23/AH22)</f>
        <v/>
      </c>
      <c r="AI21" s="26">
        <f>IF(AI22=0,0,AI23/AI22)</f>
        <v/>
      </c>
      <c r="AJ21" s="26">
        <f>IF(AJ22=0,0,AJ23/AJ22)</f>
        <v/>
      </c>
      <c r="AK21" s="26">
        <f>IF(AK22=0,0,AK23/AK22)</f>
        <v/>
      </c>
      <c r="AL21" s="26">
        <f>IF(AL22=0,0,AL23/AL22)</f>
        <v/>
      </c>
      <c r="AM21" s="26">
        <f>IF(AM22=0,0,AM23/AM22)</f>
        <v/>
      </c>
      <c r="AN21" s="26">
        <f>IF(AN22=0,0,AN23/AN22)</f>
        <v/>
      </c>
      <c r="AO21" s="26">
        <f>IF(AO22=0,0,AO23/AO22)</f>
        <v/>
      </c>
      <c r="AP21" s="26">
        <f>IF(AP22=0,0,AP23/AP22)</f>
        <v/>
      </c>
      <c r="AQ21" s="26">
        <f>IF(AQ22=0,0,AQ23/AQ22)</f>
        <v/>
      </c>
      <c r="AR21" s="26">
        <f>IF(AR22=0,0,AR23/AR22)</f>
        <v/>
      </c>
      <c r="AS21" s="26">
        <f>IF(AS22=0,0,AS23/AS22)</f>
        <v/>
      </c>
      <c r="AT21" s="26">
        <f>IF(AT22=0,0,AT23/AT22)</f>
        <v/>
      </c>
      <c r="AU21" s="26">
        <f>IF(AU22=0,0,AU23/AU22)</f>
        <v/>
      </c>
      <c r="AV21" s="26">
        <f>IF(AV22=0,0,AV23/AV22)</f>
        <v/>
      </c>
      <c r="AW21" s="26">
        <f>IF(AW22=0,0,AW23/AW22)</f>
        <v/>
      </c>
      <c r="AX21" s="26">
        <f>IF(AX22=0,0,AX23/AX22)</f>
        <v/>
      </c>
      <c r="AY21" s="26">
        <f>IF(AY22=0,0,AY23/AY22)</f>
        <v/>
      </c>
      <c r="AZ21" s="26">
        <f>IF(AZ22=0,0,AZ23/AZ22)</f>
        <v/>
      </c>
      <c r="BA21" s="26">
        <f>IF(BA22=0,0,BA23/BA22)</f>
        <v/>
      </c>
      <c r="BB21" s="26">
        <f>IF(BB22=0,0,BB23/BB22)</f>
        <v/>
      </c>
      <c r="BC21" s="26">
        <f>IF(BC22=0,0,BC23/BC22)</f>
        <v/>
      </c>
      <c r="BD21" s="26">
        <f>IF(BD22=0,0,BD23/BD22)</f>
        <v/>
      </c>
      <c r="BE21" s="26">
        <f>IF(BE22=0,0,BE23/BE22)</f>
        <v/>
      </c>
      <c r="BF21" s="26">
        <f>IF(BF22=0,0,BF23/BF22)</f>
        <v/>
      </c>
      <c r="BG21" s="26">
        <f>IF(BG22=0,0,BG23/BG22)</f>
        <v/>
      </c>
      <c r="BH21" s="29" t="n">
        <v>820</v>
      </c>
      <c r="BI21" s="29" t="n">
        <v>900</v>
      </c>
      <c r="BJ21" s="29" t="n">
        <v>1100</v>
      </c>
      <c r="BK21" s="29" t="n">
        <v>1280</v>
      </c>
      <c r="BL21" s="29" t="n">
        <v>1480</v>
      </c>
      <c r="BM21" s="29" t="n">
        <v>1680</v>
      </c>
      <c r="BN21" s="29" t="n">
        <v>1900</v>
      </c>
      <c r="BO21" s="29" t="n">
        <v>2100</v>
      </c>
      <c r="BP21" s="29" t="n">
        <v>2300</v>
      </c>
      <c r="BQ21" s="29" t="n">
        <v>2500</v>
      </c>
      <c r="BR21" s="30" t="inlineStr">
        <is>
          <t>Washington等模拟TIA出货。管理层：初始收入2027、放量2028。2026仍小（随800G模块配套）。未披露，按光学收入12–18%拆分。</t>
        </is>
      </c>
    </row>
    <row r="22">
      <c r="A22" s="4" t="inlineStr">
        <is>
          <t>TIA</t>
        </is>
      </c>
      <c r="B22" s="7" t="inlineStr">
        <is>
          <t>TIA ASP</t>
        </is>
      </c>
      <c r="C22" s="4" t="inlineStr">
        <is>
          <t>$ / unit</t>
        </is>
      </c>
      <c r="D22" s="31" t="n">
        <v>0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31" t="n">
        <v>0</v>
      </c>
      <c r="K22" s="31" t="n">
        <v>0</v>
      </c>
      <c r="L22" s="31" t="n">
        <v>10</v>
      </c>
      <c r="M22" s="31" t="n">
        <v>10.2</v>
      </c>
      <c r="N22" s="32">
        <f>IF(N21=0,0,N23/N21)</f>
        <v/>
      </c>
      <c r="O22" s="33">
        <f>IF(O21=0,0,O23/O21)</f>
        <v/>
      </c>
      <c r="P22" s="33">
        <f>IF(P21=0,0,P23/P21)</f>
        <v/>
      </c>
      <c r="R22" s="31" t="n">
        <v>10</v>
      </c>
      <c r="S22" s="31" t="n">
        <v>10</v>
      </c>
      <c r="T22" s="31" t="n">
        <v>10</v>
      </c>
      <c r="U22" s="31" t="n">
        <v>10</v>
      </c>
      <c r="V22" s="31" t="n">
        <v>10</v>
      </c>
      <c r="W22" s="31" t="n">
        <v>10</v>
      </c>
      <c r="X22" s="31" t="n">
        <v>10</v>
      </c>
      <c r="Y22" s="31" t="n">
        <v>10</v>
      </c>
      <c r="Z22" s="31" t="n">
        <v>10</v>
      </c>
      <c r="AA22" s="31" t="n">
        <v>10</v>
      </c>
      <c r="AB22" s="31" t="n">
        <v>10</v>
      </c>
      <c r="AC22" s="31" t="n">
        <v>10</v>
      </c>
      <c r="AD22" s="31" t="n">
        <v>10</v>
      </c>
      <c r="AE22" s="31" t="n">
        <v>10</v>
      </c>
      <c r="AF22" s="31" t="n">
        <v>10</v>
      </c>
      <c r="AG22" s="31" t="n">
        <v>10</v>
      </c>
      <c r="AH22" s="31" t="n">
        <v>10</v>
      </c>
      <c r="AI22" s="31" t="n">
        <v>10</v>
      </c>
      <c r="AJ22" s="31" t="n">
        <v>10</v>
      </c>
      <c r="AK22" s="31" t="n">
        <v>10</v>
      </c>
      <c r="AL22" s="31" t="n">
        <v>10</v>
      </c>
      <c r="AM22" s="31" t="n">
        <v>10</v>
      </c>
      <c r="AN22" s="31" t="n">
        <v>10</v>
      </c>
      <c r="AO22" s="31" t="n">
        <v>10</v>
      </c>
      <c r="AP22" s="31" t="n">
        <v>10</v>
      </c>
      <c r="AQ22" s="31" t="n">
        <v>10</v>
      </c>
      <c r="AR22" s="31" t="n">
        <v>10</v>
      </c>
      <c r="AS22" s="31" t="n">
        <v>10</v>
      </c>
      <c r="AT22" s="31" t="n">
        <v>10</v>
      </c>
      <c r="AU22" s="31" t="n">
        <v>10</v>
      </c>
      <c r="AV22" s="31" t="n">
        <v>10</v>
      </c>
      <c r="AW22" s="31" t="n">
        <v>10</v>
      </c>
      <c r="AX22" s="31" t="n">
        <v>9.85</v>
      </c>
      <c r="AY22" s="31" t="n">
        <v>9.960000000000001</v>
      </c>
      <c r="AZ22" s="31" t="n">
        <v>10.04</v>
      </c>
      <c r="BA22" s="31" t="n">
        <v>10.15</v>
      </c>
      <c r="BB22" s="31" t="n">
        <v>10.05</v>
      </c>
      <c r="BC22" s="31" t="n">
        <v>10.15</v>
      </c>
      <c r="BD22" s="31" t="n">
        <v>10.24</v>
      </c>
      <c r="BE22" s="31" t="n">
        <v>10.35</v>
      </c>
      <c r="BF22" s="31" t="n">
        <v>10.4</v>
      </c>
      <c r="BG22" s="31" t="n">
        <v>10.5</v>
      </c>
      <c r="BH22" s="34" t="n">
        <v>10.5</v>
      </c>
      <c r="BI22" s="34" t="n">
        <v>10.7</v>
      </c>
      <c r="BJ22" s="34" t="n">
        <v>11</v>
      </c>
      <c r="BK22" s="34" t="n">
        <v>11.2</v>
      </c>
      <c r="BL22" s="34" t="n">
        <v>11.4</v>
      </c>
      <c r="BM22" s="34" t="n">
        <v>11.6</v>
      </c>
      <c r="BN22" s="34" t="n">
        <v>11.8</v>
      </c>
      <c r="BO22" s="34" t="n">
        <v>12</v>
      </c>
      <c r="BP22" s="34" t="n">
        <v>12.2</v>
      </c>
      <c r="BQ22" s="34" t="n">
        <v>12.4</v>
      </c>
      <c r="BR22" s="30" t="inlineStr">
        <is>
          <t>TIA ASP工作假设$10–12.4。SiGe/BiCMOS模拟，ASP低于DSP。</t>
        </is>
      </c>
    </row>
    <row r="23">
      <c r="A23" s="4" t="inlineStr">
        <is>
          <t>TIA</t>
        </is>
      </c>
      <c r="B23" s="7" t="inlineStr">
        <is>
          <t>TIA revenue</t>
        </is>
      </c>
      <c r="C23" s="4" t="inlineStr">
        <is>
          <t>$000</t>
        </is>
      </c>
      <c r="D23" s="35" t="n">
        <v>0</v>
      </c>
      <c r="E23" s="35" t="n">
        <v>0</v>
      </c>
      <c r="F23" s="35" t="n">
        <v>0</v>
      </c>
      <c r="G23" s="35" t="n">
        <v>0</v>
      </c>
      <c r="H23" s="35" t="n">
        <v>0</v>
      </c>
      <c r="I23" s="35" t="n">
        <v>0</v>
      </c>
      <c r="J23" s="35" t="n">
        <v>0</v>
      </c>
      <c r="K23" s="35" t="n">
        <v>0</v>
      </c>
      <c r="L23" s="35" t="n">
        <v>1056</v>
      </c>
      <c r="M23" s="35" t="n">
        <v>6160</v>
      </c>
      <c r="N23" s="36">
        <f>BF23+BG23+BH23+BI23</f>
        <v/>
      </c>
      <c r="O23" s="37">
        <f>BJ23+BK23+BL23+BM23</f>
        <v/>
      </c>
      <c r="P23" s="37">
        <f>BN23+BO23+BP23+BQ23</f>
        <v/>
      </c>
      <c r="R23" s="35" t="n">
        <v>0</v>
      </c>
      <c r="S23" s="35" t="n">
        <v>0</v>
      </c>
      <c r="T23" s="35" t="n">
        <v>0</v>
      </c>
      <c r="U23" s="35" t="n">
        <v>0</v>
      </c>
      <c r="V23" s="35" t="n">
        <v>0</v>
      </c>
      <c r="W23" s="35" t="n">
        <v>0</v>
      </c>
      <c r="X23" s="35" t="n">
        <v>0</v>
      </c>
      <c r="Y23" s="35" t="n">
        <v>0</v>
      </c>
      <c r="Z23" s="35" t="n">
        <v>0</v>
      </c>
      <c r="AA23" s="35" t="n">
        <v>0</v>
      </c>
      <c r="AB23" s="35" t="n">
        <v>0</v>
      </c>
      <c r="AC23" s="35" t="n">
        <v>0</v>
      </c>
      <c r="AD23" s="35" t="n">
        <v>0</v>
      </c>
      <c r="AE23" s="35" t="n">
        <v>0</v>
      </c>
      <c r="AF23" s="35" t="n">
        <v>0</v>
      </c>
      <c r="AG23" s="35" t="n">
        <v>0</v>
      </c>
      <c r="AH23" s="35" t="n">
        <v>0</v>
      </c>
      <c r="AI23" s="35" t="n">
        <v>0</v>
      </c>
      <c r="AJ23" s="35" t="n">
        <v>0</v>
      </c>
      <c r="AK23" s="35" t="n">
        <v>0</v>
      </c>
      <c r="AL23" s="35" t="n">
        <v>0</v>
      </c>
      <c r="AM23" s="35" t="n">
        <v>0</v>
      </c>
      <c r="AN23" s="35" t="n">
        <v>0</v>
      </c>
      <c r="AO23" s="35" t="n">
        <v>0</v>
      </c>
      <c r="AP23" s="35" t="n">
        <v>0</v>
      </c>
      <c r="AQ23" s="35" t="n">
        <v>0</v>
      </c>
      <c r="AR23" s="35" t="n">
        <v>0</v>
      </c>
      <c r="AS23" s="35" t="n">
        <v>0</v>
      </c>
      <c r="AT23" s="35" t="n">
        <v>0</v>
      </c>
      <c r="AU23" s="35" t="n">
        <v>0</v>
      </c>
      <c r="AV23" s="35" t="n">
        <v>0</v>
      </c>
      <c r="AW23" s="35" t="n">
        <v>0</v>
      </c>
      <c r="AX23" s="35" t="n">
        <v>279</v>
      </c>
      <c r="AY23" s="35" t="n">
        <v>269</v>
      </c>
      <c r="AZ23" s="35" t="n">
        <v>238</v>
      </c>
      <c r="BA23" s="35" t="n">
        <v>270</v>
      </c>
      <c r="BB23" s="35" t="n">
        <v>660</v>
      </c>
      <c r="BC23" s="35" t="n">
        <v>1320</v>
      </c>
      <c r="BD23" s="35" t="n">
        <v>1980</v>
      </c>
      <c r="BE23" s="35" t="n">
        <v>2200</v>
      </c>
      <c r="BF23" s="35" t="n">
        <v>4200</v>
      </c>
      <c r="BG23" s="35" t="n">
        <v>6240</v>
      </c>
      <c r="BH23" s="37">
        <f>BH21*BH22</f>
        <v/>
      </c>
      <c r="BI23" s="37">
        <f>BI21*BI22</f>
        <v/>
      </c>
      <c r="BJ23" s="37">
        <f>BJ21*BJ22</f>
        <v/>
      </c>
      <c r="BK23" s="37">
        <f>BK21*BK22</f>
        <v/>
      </c>
      <c r="BL23" s="37">
        <f>BL21*BL22</f>
        <v/>
      </c>
      <c r="BM23" s="37">
        <f>BM21*BM22</f>
        <v/>
      </c>
      <c r="BN23" s="37">
        <f>BN21*BN22</f>
        <v/>
      </c>
      <c r="BO23" s="37">
        <f>BO21*BO22</f>
        <v/>
      </c>
      <c r="BP23" s="37">
        <f>BP21*BP22</f>
        <v/>
      </c>
      <c r="BQ23" s="37">
        <f>BQ21*BQ22</f>
        <v/>
      </c>
      <c r="BR23" s="30" t="inlineStr">
        <is>
          <t>TIA收入=量×ASP（预测）或光学拆分（历史）。</t>
        </is>
      </c>
    </row>
    <row r="24">
      <c r="A24" s="4" t="inlineStr">
        <is>
          <t>TIA</t>
        </is>
      </c>
      <c r="B24" s="7" t="inlineStr">
        <is>
          <t>TIA unit COGS</t>
        </is>
      </c>
      <c r="C24" s="4" t="inlineStr">
        <is>
          <t>$ / unit</t>
        </is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4.2</v>
      </c>
      <c r="M24" s="31" t="n">
        <v>4.1</v>
      </c>
      <c r="N24" s="32">
        <f>IF(N21=0,0,N25/N21)</f>
        <v/>
      </c>
      <c r="O24" s="33">
        <f>IF(O21=0,0,O25/O21)</f>
        <v/>
      </c>
      <c r="P24" s="33">
        <f>IF(P21=0,0,P25/P21)</f>
        <v/>
      </c>
      <c r="R24" s="31" t="n">
        <v>4.2</v>
      </c>
      <c r="S24" s="31" t="n">
        <v>4.2</v>
      </c>
      <c r="T24" s="31" t="n">
        <v>4.2</v>
      </c>
      <c r="U24" s="31" t="n">
        <v>4.2</v>
      </c>
      <c r="V24" s="31" t="n">
        <v>4.2</v>
      </c>
      <c r="W24" s="31" t="n">
        <v>4.2</v>
      </c>
      <c r="X24" s="31" t="n">
        <v>4.2</v>
      </c>
      <c r="Y24" s="31" t="n">
        <v>4.2</v>
      </c>
      <c r="Z24" s="31" t="n">
        <v>4.2</v>
      </c>
      <c r="AA24" s="31" t="n">
        <v>4.2</v>
      </c>
      <c r="AB24" s="31" t="n">
        <v>4.2</v>
      </c>
      <c r="AC24" s="31" t="n">
        <v>4.2</v>
      </c>
      <c r="AD24" s="31" t="n">
        <v>4.2</v>
      </c>
      <c r="AE24" s="31" t="n">
        <v>4.2</v>
      </c>
      <c r="AF24" s="31" t="n">
        <v>4.2</v>
      </c>
      <c r="AG24" s="31" t="n">
        <v>4.2</v>
      </c>
      <c r="AH24" s="31" t="n">
        <v>4.2</v>
      </c>
      <c r="AI24" s="31" t="n">
        <v>4.2</v>
      </c>
      <c r="AJ24" s="31" t="n">
        <v>4.2</v>
      </c>
      <c r="AK24" s="31" t="n">
        <v>4.2</v>
      </c>
      <c r="AL24" s="31" t="n">
        <v>4.2</v>
      </c>
      <c r="AM24" s="31" t="n">
        <v>4.2</v>
      </c>
      <c r="AN24" s="31" t="n">
        <v>4.2</v>
      </c>
      <c r="AO24" s="31" t="n">
        <v>4.2</v>
      </c>
      <c r="AP24" s="31" t="n">
        <v>4.2</v>
      </c>
      <c r="AQ24" s="31" t="n">
        <v>4.2</v>
      </c>
      <c r="AR24" s="31" t="n">
        <v>4.2</v>
      </c>
      <c r="AS24" s="31" t="n">
        <v>4.2</v>
      </c>
      <c r="AT24" s="31" t="n">
        <v>4.2</v>
      </c>
      <c r="AU24" s="31" t="n">
        <v>4.2</v>
      </c>
      <c r="AV24" s="31" t="n">
        <v>4.2</v>
      </c>
      <c r="AW24" s="31" t="n">
        <v>4.2</v>
      </c>
      <c r="AX24" s="31" t="n">
        <v>4.2</v>
      </c>
      <c r="AY24" s="31" t="n">
        <v>4.2</v>
      </c>
      <c r="AZ24" s="31" t="n">
        <v>4.2</v>
      </c>
      <c r="BA24" s="31" t="n">
        <v>4.2</v>
      </c>
      <c r="BB24" s="31" t="n">
        <v>4.1</v>
      </c>
      <c r="BC24" s="31" t="n">
        <v>4.1</v>
      </c>
      <c r="BD24" s="31" t="n">
        <v>4.1</v>
      </c>
      <c r="BE24" s="31" t="n">
        <v>4.1</v>
      </c>
      <c r="BF24" s="31" t="n">
        <v>4</v>
      </c>
      <c r="BG24" s="31" t="n">
        <v>4</v>
      </c>
      <c r="BH24" s="34" t="n">
        <v>4</v>
      </c>
      <c r="BI24" s="34" t="n">
        <v>4</v>
      </c>
      <c r="BJ24" s="34" t="n">
        <v>4.1</v>
      </c>
      <c r="BK24" s="34" t="n">
        <v>4.1</v>
      </c>
      <c r="BL24" s="34" t="n">
        <v>4.2</v>
      </c>
      <c r="BM24" s="34" t="n">
        <v>4.2</v>
      </c>
      <c r="BN24" s="34" t="n">
        <v>4.3</v>
      </c>
      <c r="BO24" s="34" t="n">
        <v>4.3</v>
      </c>
      <c r="BP24" s="34" t="n">
        <v>4.4</v>
      </c>
      <c r="BQ24" s="34" t="n">
        <v>4.4</v>
      </c>
      <c r="BR24" s="30" t="inlineStr">
        <is>
          <t>TIA单颗成本。模拟产品毛利率通常略高于CMOS DSP（~62%）。</t>
        </is>
      </c>
    </row>
    <row r="25">
      <c r="A25" s="4" t="inlineStr">
        <is>
          <t>TIA</t>
        </is>
      </c>
      <c r="B25" s="7" t="inlineStr">
        <is>
          <t>TIA COGS</t>
        </is>
      </c>
      <c r="C25" s="4" t="inlineStr">
        <is>
          <t>$000</t>
        </is>
      </c>
      <c r="D25" s="38">
        <f>D21*D24</f>
        <v/>
      </c>
      <c r="E25" s="38">
        <f>E21*E24</f>
        <v/>
      </c>
      <c r="F25" s="38">
        <f>F21*F24</f>
        <v/>
      </c>
      <c r="G25" s="38">
        <f>G21*G24</f>
        <v/>
      </c>
      <c r="H25" s="38">
        <f>H21*H24</f>
        <v/>
      </c>
      <c r="I25" s="38">
        <f>I21*I24</f>
        <v/>
      </c>
      <c r="J25" s="38">
        <f>J21*J24</f>
        <v/>
      </c>
      <c r="K25" s="38">
        <f>K21*K24</f>
        <v/>
      </c>
      <c r="L25" s="38">
        <f>L21*L24</f>
        <v/>
      </c>
      <c r="M25" s="38">
        <f>M21*M24</f>
        <v/>
      </c>
      <c r="N25" s="36">
        <f>BF25+BG25+BH25+BI25</f>
        <v/>
      </c>
      <c r="O25" s="37">
        <f>BJ25+BK25+BL25+BM25</f>
        <v/>
      </c>
      <c r="P25" s="37">
        <f>BN25+BO25+BP25+BQ25</f>
        <v/>
      </c>
      <c r="R25" s="38">
        <f>R21*R24</f>
        <v/>
      </c>
      <c r="S25" s="38">
        <f>S21*S24</f>
        <v/>
      </c>
      <c r="T25" s="38">
        <f>T21*T24</f>
        <v/>
      </c>
      <c r="U25" s="38">
        <f>U21*U24</f>
        <v/>
      </c>
      <c r="V25" s="38">
        <f>V21*V24</f>
        <v/>
      </c>
      <c r="W25" s="38">
        <f>W21*W24</f>
        <v/>
      </c>
      <c r="X25" s="38">
        <f>X21*X24</f>
        <v/>
      </c>
      <c r="Y25" s="38">
        <f>Y21*Y24</f>
        <v/>
      </c>
      <c r="Z25" s="38">
        <f>Z21*Z24</f>
        <v/>
      </c>
      <c r="AA25" s="38">
        <f>AA21*AA24</f>
        <v/>
      </c>
      <c r="AB25" s="38">
        <f>AB21*AB24</f>
        <v/>
      </c>
      <c r="AC25" s="38">
        <f>AC21*AC24</f>
        <v/>
      </c>
      <c r="AD25" s="38">
        <f>AD21*AD24</f>
        <v/>
      </c>
      <c r="AE25" s="38">
        <f>AE21*AE24</f>
        <v/>
      </c>
      <c r="AF25" s="38">
        <f>AF21*AF24</f>
        <v/>
      </c>
      <c r="AG25" s="38">
        <f>AG21*AG24</f>
        <v/>
      </c>
      <c r="AH25" s="38">
        <f>AH21*AH24</f>
        <v/>
      </c>
      <c r="AI25" s="38">
        <f>AI21*AI24</f>
        <v/>
      </c>
      <c r="AJ25" s="38">
        <f>AJ21*AJ24</f>
        <v/>
      </c>
      <c r="AK25" s="38">
        <f>AK21*AK24</f>
        <v/>
      </c>
      <c r="AL25" s="38">
        <f>AL21*AL24</f>
        <v/>
      </c>
      <c r="AM25" s="38">
        <f>AM21*AM24</f>
        <v/>
      </c>
      <c r="AN25" s="38">
        <f>AN21*AN24</f>
        <v/>
      </c>
      <c r="AO25" s="38">
        <f>AO21*AO24</f>
        <v/>
      </c>
      <c r="AP25" s="38">
        <f>AP21*AP24</f>
        <v/>
      </c>
      <c r="AQ25" s="38">
        <f>AQ21*AQ24</f>
        <v/>
      </c>
      <c r="AR25" s="38">
        <f>AR21*AR24</f>
        <v/>
      </c>
      <c r="AS25" s="38">
        <f>AS21*AS24</f>
        <v/>
      </c>
      <c r="AT25" s="38">
        <f>AT21*AT24</f>
        <v/>
      </c>
      <c r="AU25" s="38">
        <f>AU21*AU24</f>
        <v/>
      </c>
      <c r="AV25" s="38">
        <f>AV21*AV24</f>
        <v/>
      </c>
      <c r="AW25" s="38">
        <f>AW21*AW24</f>
        <v/>
      </c>
      <c r="AX25" s="38">
        <f>AX21*AX24</f>
        <v/>
      </c>
      <c r="AY25" s="38">
        <f>AY21*AY24</f>
        <v/>
      </c>
      <c r="AZ25" s="38">
        <f>AZ21*AZ24</f>
        <v/>
      </c>
      <c r="BA25" s="38">
        <f>BA21*BA24</f>
        <v/>
      </c>
      <c r="BB25" s="38">
        <f>BB21*BB24</f>
        <v/>
      </c>
      <c r="BC25" s="38">
        <f>BC21*BC24</f>
        <v/>
      </c>
      <c r="BD25" s="38">
        <f>BD21*BD24</f>
        <v/>
      </c>
      <c r="BE25" s="38">
        <f>BE21*BE24</f>
        <v/>
      </c>
      <c r="BF25" s="38">
        <f>BF21*BF24</f>
        <v/>
      </c>
      <c r="BG25" s="38">
        <f>BG21*BG24</f>
        <v/>
      </c>
      <c r="BH25" s="37">
        <f>BH21*BH24</f>
        <v/>
      </c>
      <c r="BI25" s="37">
        <f>BI21*BI24</f>
        <v/>
      </c>
      <c r="BJ25" s="37">
        <f>BJ21*BJ24</f>
        <v/>
      </c>
      <c r="BK25" s="37">
        <f>BK21*BK24</f>
        <v/>
      </c>
      <c r="BL25" s="37">
        <f>BL21*BL24</f>
        <v/>
      </c>
      <c r="BM25" s="37">
        <f>BM21*BM24</f>
        <v/>
      </c>
      <c r="BN25" s="37">
        <f>BN21*BN24</f>
        <v/>
      </c>
      <c r="BO25" s="37">
        <f>BO21*BO24</f>
        <v/>
      </c>
      <c r="BP25" s="37">
        <f>BP21*BP24</f>
        <v/>
      </c>
      <c r="BQ25" s="37">
        <f>BQ21*BQ24</f>
        <v/>
      </c>
      <c r="BR25" s="30" t="inlineStr">
        <is>
          <t>TIA COGS=量×单颗COGS。</t>
        </is>
      </c>
    </row>
    <row r="26">
      <c r="A26" s="4" t="inlineStr">
        <is>
          <t>Driver</t>
        </is>
      </c>
      <c r="B26" s="7" t="inlineStr">
        <is>
          <t>Laser driver units</t>
        </is>
      </c>
      <c r="C26" s="4" t="inlineStr">
        <is>
          <t>k units</t>
        </is>
      </c>
      <c r="D26" s="26">
        <f>IF(D27=0,0,D28/D27)</f>
        <v/>
      </c>
      <c r="E26" s="26">
        <f>IF(E27=0,0,E28/E27)</f>
        <v/>
      </c>
      <c r="F26" s="26">
        <f>IF(F27=0,0,F28/F27)</f>
        <v/>
      </c>
      <c r="G26" s="26">
        <f>IF(G27=0,0,G28/G27)</f>
        <v/>
      </c>
      <c r="H26" s="26">
        <f>IF(H27=0,0,H28/H27)</f>
        <v/>
      </c>
      <c r="I26" s="26">
        <f>IF(I27=0,0,I28/I27)</f>
        <v/>
      </c>
      <c r="J26" s="26">
        <f>IF(J27=0,0,J28/J27)</f>
        <v/>
      </c>
      <c r="K26" s="26">
        <f>IF(K27=0,0,K28/K27)</f>
        <v/>
      </c>
      <c r="L26" s="26">
        <f>IF(L27=0,0,L28/L27)</f>
        <v/>
      </c>
      <c r="M26" s="26">
        <f>IF(M27=0,0,M28/M27)</f>
        <v/>
      </c>
      <c r="N26" s="27">
        <f>BF26+BG26+BH26+BI26</f>
        <v/>
      </c>
      <c r="O26" s="28">
        <f>BJ26+BK26+BL26+BM26</f>
        <v/>
      </c>
      <c r="P26" s="28">
        <f>BN26+BO26+BP26+BQ26</f>
        <v/>
      </c>
      <c r="R26" s="26">
        <f>IF(R27=0,0,R28/R27)</f>
        <v/>
      </c>
      <c r="S26" s="26">
        <f>IF(S27=0,0,S28/S27)</f>
        <v/>
      </c>
      <c r="T26" s="26">
        <f>IF(T27=0,0,T28/T27)</f>
        <v/>
      </c>
      <c r="U26" s="26">
        <f>IF(U27=0,0,U28/U27)</f>
        <v/>
      </c>
      <c r="V26" s="26">
        <f>IF(V27=0,0,V28/V27)</f>
        <v/>
      </c>
      <c r="W26" s="26">
        <f>IF(W27=0,0,W28/W27)</f>
        <v/>
      </c>
      <c r="X26" s="26">
        <f>IF(X27=0,0,X28/X27)</f>
        <v/>
      </c>
      <c r="Y26" s="26">
        <f>IF(Y27=0,0,Y28/Y27)</f>
        <v/>
      </c>
      <c r="Z26" s="26">
        <f>IF(Z27=0,0,Z28/Z27)</f>
        <v/>
      </c>
      <c r="AA26" s="26">
        <f>IF(AA27=0,0,AA28/AA27)</f>
        <v/>
      </c>
      <c r="AB26" s="26">
        <f>IF(AB27=0,0,AB28/AB27)</f>
        <v/>
      </c>
      <c r="AC26" s="26">
        <f>IF(AC27=0,0,AC28/AC27)</f>
        <v/>
      </c>
      <c r="AD26" s="26">
        <f>IF(AD27=0,0,AD28/AD27)</f>
        <v/>
      </c>
      <c r="AE26" s="26">
        <f>IF(AE27=0,0,AE28/AE27)</f>
        <v/>
      </c>
      <c r="AF26" s="26">
        <f>IF(AF27=0,0,AF28/AF27)</f>
        <v/>
      </c>
      <c r="AG26" s="26">
        <f>IF(AG27=0,0,AG28/AG27)</f>
        <v/>
      </c>
      <c r="AH26" s="26">
        <f>IF(AH27=0,0,AH28/AH27)</f>
        <v/>
      </c>
      <c r="AI26" s="26">
        <f>IF(AI27=0,0,AI28/AI27)</f>
        <v/>
      </c>
      <c r="AJ26" s="26">
        <f>IF(AJ27=0,0,AJ28/AJ27)</f>
        <v/>
      </c>
      <c r="AK26" s="26">
        <f>IF(AK27=0,0,AK28/AK27)</f>
        <v/>
      </c>
      <c r="AL26" s="26">
        <f>IF(AL27=0,0,AL28/AL27)</f>
        <v/>
      </c>
      <c r="AM26" s="26">
        <f>IF(AM27=0,0,AM28/AM27)</f>
        <v/>
      </c>
      <c r="AN26" s="26">
        <f>IF(AN27=0,0,AN28/AN27)</f>
        <v/>
      </c>
      <c r="AO26" s="26">
        <f>IF(AO27=0,0,AO28/AO27)</f>
        <v/>
      </c>
      <c r="AP26" s="26">
        <f>IF(AP27=0,0,AP28/AP27)</f>
        <v/>
      </c>
      <c r="AQ26" s="26">
        <f>IF(AQ27=0,0,AQ28/AQ27)</f>
        <v/>
      </c>
      <c r="AR26" s="26">
        <f>IF(AR27=0,0,AR28/AR27)</f>
        <v/>
      </c>
      <c r="AS26" s="26">
        <f>IF(AS27=0,0,AS28/AS27)</f>
        <v/>
      </c>
      <c r="AT26" s="26">
        <f>IF(AT27=0,0,AT28/AT27)</f>
        <v/>
      </c>
      <c r="AU26" s="26">
        <f>IF(AU27=0,0,AU28/AU27)</f>
        <v/>
      </c>
      <c r="AV26" s="26">
        <f>IF(AV27=0,0,AV28/AV27)</f>
        <v/>
      </c>
      <c r="AW26" s="26">
        <f>IF(AW27=0,0,AW28/AW27)</f>
        <v/>
      </c>
      <c r="AX26" s="26">
        <f>IF(AX27=0,0,AX28/AX27)</f>
        <v/>
      </c>
      <c r="AY26" s="26">
        <f>IF(AY27=0,0,AY28/AY27)</f>
        <v/>
      </c>
      <c r="AZ26" s="26">
        <f>IF(AZ27=0,0,AZ28/AZ27)</f>
        <v/>
      </c>
      <c r="BA26" s="26">
        <f>IF(BA27=0,0,BA28/BA27)</f>
        <v/>
      </c>
      <c r="BB26" s="26">
        <f>IF(BB27=0,0,BB28/BB27)</f>
        <v/>
      </c>
      <c r="BC26" s="26">
        <f>IF(BC27=0,0,BC28/BC27)</f>
        <v/>
      </c>
      <c r="BD26" s="26">
        <f>IF(BD27=0,0,BD28/BD27)</f>
        <v/>
      </c>
      <c r="BE26" s="26">
        <f>IF(BE27=0,0,BE28/BE27)</f>
        <v/>
      </c>
      <c r="BF26" s="26">
        <f>IF(BF27=0,0,BF28/BF27)</f>
        <v/>
      </c>
      <c r="BG26" s="26">
        <f>IF(BG27=0,0,BG28/BG27)</f>
        <v/>
      </c>
      <c r="BH26" s="29" t="n">
        <v>680</v>
      </c>
      <c r="BI26" s="29" t="n">
        <v>760</v>
      </c>
      <c r="BJ26" s="29" t="n">
        <v>920</v>
      </c>
      <c r="BK26" s="29" t="n">
        <v>1080</v>
      </c>
      <c r="BL26" s="29" t="n">
        <v>1250</v>
      </c>
      <c r="BM26" s="29" t="n">
        <v>1420</v>
      </c>
      <c r="BN26" s="29" t="n">
        <v>1600</v>
      </c>
      <c r="BO26" s="29" t="n">
        <v>1780</v>
      </c>
      <c r="BP26" s="29" t="n">
        <v>1960</v>
      </c>
      <c r="BQ26" s="29" t="n">
        <v>2140</v>
      </c>
      <c r="BR26" s="30" t="inlineStr">
        <is>
          <t>激光Driver出货。Rushmore部分集成driver，独立driver随800G/1.6T模块配套。管理层称Annapolis retimer/analog 2027起步。</t>
        </is>
      </c>
    </row>
    <row r="27">
      <c r="A27" s="4" t="inlineStr">
        <is>
          <t>Driver</t>
        </is>
      </c>
      <c r="B27" s="7" t="inlineStr">
        <is>
          <t>Driver ASP</t>
        </is>
      </c>
      <c r="C27" s="4" t="inlineStr">
        <is>
          <t>$ / unit</t>
        </is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8</v>
      </c>
      <c r="M27" s="31" t="n">
        <v>8.199999999999999</v>
      </c>
      <c r="N27" s="32">
        <f>IF(N26=0,0,N28/N26)</f>
        <v/>
      </c>
      <c r="O27" s="33">
        <f>IF(O26=0,0,O28/O26)</f>
        <v/>
      </c>
      <c r="P27" s="33">
        <f>IF(P26=0,0,P28/P26)</f>
        <v/>
      </c>
      <c r="R27" s="31" t="n">
        <v>8</v>
      </c>
      <c r="S27" s="31" t="n">
        <v>8</v>
      </c>
      <c r="T27" s="31" t="n">
        <v>8</v>
      </c>
      <c r="U27" s="31" t="n">
        <v>8</v>
      </c>
      <c r="V27" s="31" t="n">
        <v>8</v>
      </c>
      <c r="W27" s="31" t="n">
        <v>8</v>
      </c>
      <c r="X27" s="31" t="n">
        <v>8</v>
      </c>
      <c r="Y27" s="31" t="n">
        <v>8</v>
      </c>
      <c r="Z27" s="31" t="n">
        <v>8</v>
      </c>
      <c r="AA27" s="31" t="n">
        <v>8</v>
      </c>
      <c r="AB27" s="31" t="n">
        <v>8</v>
      </c>
      <c r="AC27" s="31" t="n">
        <v>8</v>
      </c>
      <c r="AD27" s="31" t="n">
        <v>8</v>
      </c>
      <c r="AE27" s="31" t="n">
        <v>8</v>
      </c>
      <c r="AF27" s="31" t="n">
        <v>8</v>
      </c>
      <c r="AG27" s="31" t="n">
        <v>8</v>
      </c>
      <c r="AH27" s="31" t="n">
        <v>8</v>
      </c>
      <c r="AI27" s="31" t="n">
        <v>8</v>
      </c>
      <c r="AJ27" s="31" t="n">
        <v>8</v>
      </c>
      <c r="AK27" s="31" t="n">
        <v>8</v>
      </c>
      <c r="AL27" s="31" t="n">
        <v>8</v>
      </c>
      <c r="AM27" s="31" t="n">
        <v>8</v>
      </c>
      <c r="AN27" s="31" t="n">
        <v>8</v>
      </c>
      <c r="AO27" s="31" t="n">
        <v>8</v>
      </c>
      <c r="AP27" s="31" t="n">
        <v>8</v>
      </c>
      <c r="AQ27" s="31" t="n">
        <v>8</v>
      </c>
      <c r="AR27" s="31" t="n">
        <v>8</v>
      </c>
      <c r="AS27" s="31" t="n">
        <v>8</v>
      </c>
      <c r="AT27" s="31" t="n">
        <v>8</v>
      </c>
      <c r="AU27" s="31" t="n">
        <v>8</v>
      </c>
      <c r="AV27" s="31" t="n">
        <v>8</v>
      </c>
      <c r="AW27" s="31" t="n">
        <v>8</v>
      </c>
      <c r="AX27" s="31" t="n">
        <v>7.85</v>
      </c>
      <c r="AY27" s="31" t="n">
        <v>7.96</v>
      </c>
      <c r="AZ27" s="31" t="n">
        <v>8.039999999999999</v>
      </c>
      <c r="BA27" s="31" t="n">
        <v>8.15</v>
      </c>
      <c r="BB27" s="31" t="n">
        <v>8.050000000000001</v>
      </c>
      <c r="BC27" s="31" t="n">
        <v>8.15</v>
      </c>
      <c r="BD27" s="31" t="n">
        <v>8.24</v>
      </c>
      <c r="BE27" s="31" t="n">
        <v>8.35</v>
      </c>
      <c r="BF27" s="31" t="n">
        <v>8.4</v>
      </c>
      <c r="BG27" s="31" t="n">
        <v>8.5</v>
      </c>
      <c r="BH27" s="34" t="n">
        <v>8.5</v>
      </c>
      <c r="BI27" s="34" t="n">
        <v>8.6</v>
      </c>
      <c r="BJ27" s="34" t="n">
        <v>9</v>
      </c>
      <c r="BK27" s="34" t="n">
        <v>9.199999999999999</v>
      </c>
      <c r="BL27" s="34" t="n">
        <v>9.4</v>
      </c>
      <c r="BM27" s="34" t="n">
        <v>9.6</v>
      </c>
      <c r="BN27" s="34" t="n">
        <v>9.800000000000001</v>
      </c>
      <c r="BO27" s="34" t="n">
        <v>10</v>
      </c>
      <c r="BP27" s="34" t="n">
        <v>10.2</v>
      </c>
      <c r="BQ27" s="34" t="n">
        <v>10.4</v>
      </c>
      <c r="BR27" s="30" t="inlineStr">
        <is>
          <t>Driver ASP工作假设$8–10.4。</t>
        </is>
      </c>
    </row>
    <row r="28">
      <c r="A28" s="4" t="inlineStr">
        <is>
          <t>Driver</t>
        </is>
      </c>
      <c r="B28" s="7" t="inlineStr">
        <is>
          <t>Driver revenue</t>
        </is>
      </c>
      <c r="C28" s="4" t="inlineStr">
        <is>
          <t>$000</t>
        </is>
      </c>
      <c r="D28" s="35" t="n">
        <v>0</v>
      </c>
      <c r="E28" s="35" t="n">
        <v>0</v>
      </c>
      <c r="F28" s="35" t="n">
        <v>0</v>
      </c>
      <c r="G28" s="35" t="n">
        <v>0</v>
      </c>
      <c r="H28" s="35" t="n">
        <v>0</v>
      </c>
      <c r="I28" s="35" t="n">
        <v>0</v>
      </c>
      <c r="J28" s="35" t="n">
        <v>0</v>
      </c>
      <c r="K28" s="35" t="n">
        <v>0</v>
      </c>
      <c r="L28" s="35" t="n">
        <v>672</v>
      </c>
      <c r="M28" s="35" t="n">
        <v>3920</v>
      </c>
      <c r="N28" s="36">
        <f>BF28+BG28+BH28+BI28</f>
        <v/>
      </c>
      <c r="O28" s="37">
        <f>BJ28+BK28+BL28+BM28</f>
        <v/>
      </c>
      <c r="P28" s="37">
        <f>BN28+BO28+BP28+BQ28</f>
        <v/>
      </c>
      <c r="R28" s="35" t="n">
        <v>0</v>
      </c>
      <c r="S28" s="35" t="n">
        <v>0</v>
      </c>
      <c r="T28" s="35" t="n">
        <v>0</v>
      </c>
      <c r="U28" s="35" t="n">
        <v>0</v>
      </c>
      <c r="V28" s="35" t="n">
        <v>0</v>
      </c>
      <c r="W28" s="35" t="n">
        <v>0</v>
      </c>
      <c r="X28" s="35" t="n">
        <v>0</v>
      </c>
      <c r="Y28" s="35" t="n">
        <v>0</v>
      </c>
      <c r="Z28" s="35" t="n">
        <v>0</v>
      </c>
      <c r="AA28" s="35" t="n">
        <v>0</v>
      </c>
      <c r="AB28" s="35" t="n">
        <v>0</v>
      </c>
      <c r="AC28" s="35" t="n">
        <v>0</v>
      </c>
      <c r="AD28" s="35" t="n">
        <v>0</v>
      </c>
      <c r="AE28" s="35" t="n">
        <v>0</v>
      </c>
      <c r="AF28" s="35" t="n">
        <v>0</v>
      </c>
      <c r="AG28" s="35" t="n">
        <v>0</v>
      </c>
      <c r="AH28" s="35" t="n">
        <v>0</v>
      </c>
      <c r="AI28" s="35" t="n">
        <v>0</v>
      </c>
      <c r="AJ28" s="35" t="n">
        <v>0</v>
      </c>
      <c r="AK28" s="35" t="n">
        <v>0</v>
      </c>
      <c r="AL28" s="35" t="n">
        <v>0</v>
      </c>
      <c r="AM28" s="35" t="n">
        <v>0</v>
      </c>
      <c r="AN28" s="35" t="n">
        <v>0</v>
      </c>
      <c r="AO28" s="35" t="n">
        <v>0</v>
      </c>
      <c r="AP28" s="35" t="n">
        <v>0</v>
      </c>
      <c r="AQ28" s="35" t="n">
        <v>0</v>
      </c>
      <c r="AR28" s="35" t="n">
        <v>0</v>
      </c>
      <c r="AS28" s="35" t="n">
        <v>0</v>
      </c>
      <c r="AT28" s="35" t="n">
        <v>0</v>
      </c>
      <c r="AU28" s="35" t="n">
        <v>0</v>
      </c>
      <c r="AV28" s="35" t="n">
        <v>0</v>
      </c>
      <c r="AW28" s="35" t="n">
        <v>0</v>
      </c>
      <c r="AX28" s="35" t="n">
        <v>178</v>
      </c>
      <c r="AY28" s="35" t="n">
        <v>172</v>
      </c>
      <c r="AZ28" s="35" t="n">
        <v>151</v>
      </c>
      <c r="BA28" s="35" t="n">
        <v>172</v>
      </c>
      <c r="BB28" s="35" t="n">
        <v>420</v>
      </c>
      <c r="BC28" s="35" t="n">
        <v>840</v>
      </c>
      <c r="BD28" s="35" t="n">
        <v>1260</v>
      </c>
      <c r="BE28" s="35" t="n">
        <v>1400</v>
      </c>
      <c r="BF28" s="35" t="n">
        <v>2800</v>
      </c>
      <c r="BG28" s="35" t="n">
        <v>4160</v>
      </c>
      <c r="BH28" s="37">
        <f>BH26*BH27</f>
        <v/>
      </c>
      <c r="BI28" s="37">
        <f>BI26*BI27</f>
        <v/>
      </c>
      <c r="BJ28" s="37">
        <f>BJ26*BJ27</f>
        <v/>
      </c>
      <c r="BK28" s="37">
        <f>BK26*BK27</f>
        <v/>
      </c>
      <c r="BL28" s="37">
        <f>BL26*BL27</f>
        <v/>
      </c>
      <c r="BM28" s="37">
        <f>BM26*BM27</f>
        <v/>
      </c>
      <c r="BN28" s="37">
        <f>BN26*BN27</f>
        <v/>
      </c>
      <c r="BO28" s="37">
        <f>BO26*BO27</f>
        <v/>
      </c>
      <c r="BP28" s="37">
        <f>BP26*BP27</f>
        <v/>
      </c>
      <c r="BQ28" s="37">
        <f>BQ26*BQ27</f>
        <v/>
      </c>
      <c r="BR28" s="30" t="inlineStr">
        <is>
          <t>Driver收入=量×ASP。</t>
        </is>
      </c>
    </row>
    <row r="29">
      <c r="A29" s="4" t="inlineStr">
        <is>
          <t>Driver</t>
        </is>
      </c>
      <c r="B29" s="7" t="inlineStr">
        <is>
          <t>Driver unit COGS</t>
        </is>
      </c>
      <c r="C29" s="4" t="inlineStr">
        <is>
          <t>$ / unit</t>
        </is>
      </c>
      <c r="D29" s="31" t="n">
        <v>0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3.5</v>
      </c>
      <c r="M29" s="31" t="n">
        <v>3.4</v>
      </c>
      <c r="N29" s="32">
        <f>IF(N26=0,0,N30/N26)</f>
        <v/>
      </c>
      <c r="O29" s="33">
        <f>IF(O26=0,0,O30/O26)</f>
        <v/>
      </c>
      <c r="P29" s="33">
        <f>IF(P26=0,0,P30/P26)</f>
        <v/>
      </c>
      <c r="R29" s="31" t="n">
        <v>3.5</v>
      </c>
      <c r="S29" s="31" t="n">
        <v>3.5</v>
      </c>
      <c r="T29" s="31" t="n">
        <v>3.5</v>
      </c>
      <c r="U29" s="31" t="n">
        <v>3.5</v>
      </c>
      <c r="V29" s="31" t="n">
        <v>3.5</v>
      </c>
      <c r="W29" s="31" t="n">
        <v>3.5</v>
      </c>
      <c r="X29" s="31" t="n">
        <v>3.5</v>
      </c>
      <c r="Y29" s="31" t="n">
        <v>3.5</v>
      </c>
      <c r="Z29" s="31" t="n">
        <v>3.5</v>
      </c>
      <c r="AA29" s="31" t="n">
        <v>3.5</v>
      </c>
      <c r="AB29" s="31" t="n">
        <v>3.5</v>
      </c>
      <c r="AC29" s="31" t="n">
        <v>3.5</v>
      </c>
      <c r="AD29" s="31" t="n">
        <v>3.5</v>
      </c>
      <c r="AE29" s="31" t="n">
        <v>3.5</v>
      </c>
      <c r="AF29" s="31" t="n">
        <v>3.5</v>
      </c>
      <c r="AG29" s="31" t="n">
        <v>3.5</v>
      </c>
      <c r="AH29" s="31" t="n">
        <v>3.5</v>
      </c>
      <c r="AI29" s="31" t="n">
        <v>3.5</v>
      </c>
      <c r="AJ29" s="31" t="n">
        <v>3.5</v>
      </c>
      <c r="AK29" s="31" t="n">
        <v>3.5</v>
      </c>
      <c r="AL29" s="31" t="n">
        <v>3.5</v>
      </c>
      <c r="AM29" s="31" t="n">
        <v>3.5</v>
      </c>
      <c r="AN29" s="31" t="n">
        <v>3.5</v>
      </c>
      <c r="AO29" s="31" t="n">
        <v>3.5</v>
      </c>
      <c r="AP29" s="31" t="n">
        <v>3.5</v>
      </c>
      <c r="AQ29" s="31" t="n">
        <v>3.5</v>
      </c>
      <c r="AR29" s="31" t="n">
        <v>3.5</v>
      </c>
      <c r="AS29" s="31" t="n">
        <v>3.5</v>
      </c>
      <c r="AT29" s="31" t="n">
        <v>3.5</v>
      </c>
      <c r="AU29" s="31" t="n">
        <v>3.5</v>
      </c>
      <c r="AV29" s="31" t="n">
        <v>3.5</v>
      </c>
      <c r="AW29" s="31" t="n">
        <v>3.5</v>
      </c>
      <c r="AX29" s="31" t="n">
        <v>3.5</v>
      </c>
      <c r="AY29" s="31" t="n">
        <v>3.5</v>
      </c>
      <c r="AZ29" s="31" t="n">
        <v>3.5</v>
      </c>
      <c r="BA29" s="31" t="n">
        <v>3.5</v>
      </c>
      <c r="BB29" s="31" t="n">
        <v>3.4</v>
      </c>
      <c r="BC29" s="31" t="n">
        <v>3.4</v>
      </c>
      <c r="BD29" s="31" t="n">
        <v>3.4</v>
      </c>
      <c r="BE29" s="31" t="n">
        <v>3.4</v>
      </c>
      <c r="BF29" s="31" t="n">
        <v>3.4</v>
      </c>
      <c r="BG29" s="31" t="n">
        <v>3.4</v>
      </c>
      <c r="BH29" s="34" t="n">
        <v>3.4</v>
      </c>
      <c r="BI29" s="34" t="n">
        <v>3.4</v>
      </c>
      <c r="BJ29" s="34" t="n">
        <v>3.5</v>
      </c>
      <c r="BK29" s="34" t="n">
        <v>3.5</v>
      </c>
      <c r="BL29" s="34" t="n">
        <v>3.6</v>
      </c>
      <c r="BM29" s="34" t="n">
        <v>3.6</v>
      </c>
      <c r="BN29" s="34" t="n">
        <v>3.7</v>
      </c>
      <c r="BO29" s="34" t="n">
        <v>3.7</v>
      </c>
      <c r="BP29" s="34" t="n">
        <v>3.8</v>
      </c>
      <c r="BQ29" s="34" t="n">
        <v>3.8</v>
      </c>
      <c r="BR29" s="30" t="inlineStr">
        <is>
          <t>Driver单颗成本，隐含GM约60%。</t>
        </is>
      </c>
    </row>
    <row r="30">
      <c r="A30" s="4" t="inlineStr">
        <is>
          <t>Driver</t>
        </is>
      </c>
      <c r="B30" s="7" t="inlineStr">
        <is>
          <t>Driver COGS</t>
        </is>
      </c>
      <c r="C30" s="4" t="inlineStr">
        <is>
          <t>$000</t>
        </is>
      </c>
      <c r="D30" s="38">
        <f>D26*D29</f>
        <v/>
      </c>
      <c r="E30" s="38">
        <f>E26*E29</f>
        <v/>
      </c>
      <c r="F30" s="38">
        <f>F26*F29</f>
        <v/>
      </c>
      <c r="G30" s="38">
        <f>G26*G29</f>
        <v/>
      </c>
      <c r="H30" s="38">
        <f>H26*H29</f>
        <v/>
      </c>
      <c r="I30" s="38">
        <f>I26*I29</f>
        <v/>
      </c>
      <c r="J30" s="38">
        <f>J26*J29</f>
        <v/>
      </c>
      <c r="K30" s="38">
        <f>K26*K29</f>
        <v/>
      </c>
      <c r="L30" s="38">
        <f>L26*L29</f>
        <v/>
      </c>
      <c r="M30" s="38">
        <f>M26*M29</f>
        <v/>
      </c>
      <c r="N30" s="36">
        <f>BF30+BG30+BH30+BI30</f>
        <v/>
      </c>
      <c r="O30" s="37">
        <f>BJ30+BK30+BL30+BM30</f>
        <v/>
      </c>
      <c r="P30" s="37">
        <f>BN30+BO30+BP30+BQ30</f>
        <v/>
      </c>
      <c r="R30" s="38">
        <f>R26*R29</f>
        <v/>
      </c>
      <c r="S30" s="38">
        <f>S26*S29</f>
        <v/>
      </c>
      <c r="T30" s="38">
        <f>T26*T29</f>
        <v/>
      </c>
      <c r="U30" s="38">
        <f>U26*U29</f>
        <v/>
      </c>
      <c r="V30" s="38">
        <f>V26*V29</f>
        <v/>
      </c>
      <c r="W30" s="38">
        <f>W26*W29</f>
        <v/>
      </c>
      <c r="X30" s="38">
        <f>X26*X29</f>
        <v/>
      </c>
      <c r="Y30" s="38">
        <f>Y26*Y29</f>
        <v/>
      </c>
      <c r="Z30" s="38">
        <f>Z26*Z29</f>
        <v/>
      </c>
      <c r="AA30" s="38">
        <f>AA26*AA29</f>
        <v/>
      </c>
      <c r="AB30" s="38">
        <f>AB26*AB29</f>
        <v/>
      </c>
      <c r="AC30" s="38">
        <f>AC26*AC29</f>
        <v/>
      </c>
      <c r="AD30" s="38">
        <f>AD26*AD29</f>
        <v/>
      </c>
      <c r="AE30" s="38">
        <f>AE26*AE29</f>
        <v/>
      </c>
      <c r="AF30" s="38">
        <f>AF26*AF29</f>
        <v/>
      </c>
      <c r="AG30" s="38">
        <f>AG26*AG29</f>
        <v/>
      </c>
      <c r="AH30" s="38">
        <f>AH26*AH29</f>
        <v/>
      </c>
      <c r="AI30" s="38">
        <f>AI26*AI29</f>
        <v/>
      </c>
      <c r="AJ30" s="38">
        <f>AJ26*AJ29</f>
        <v/>
      </c>
      <c r="AK30" s="38">
        <f>AK26*AK29</f>
        <v/>
      </c>
      <c r="AL30" s="38">
        <f>AL26*AL29</f>
        <v/>
      </c>
      <c r="AM30" s="38">
        <f>AM26*AM29</f>
        <v/>
      </c>
      <c r="AN30" s="38">
        <f>AN26*AN29</f>
        <v/>
      </c>
      <c r="AO30" s="38">
        <f>AO26*AO29</f>
        <v/>
      </c>
      <c r="AP30" s="38">
        <f>AP26*AP29</f>
        <v/>
      </c>
      <c r="AQ30" s="38">
        <f>AQ26*AQ29</f>
        <v/>
      </c>
      <c r="AR30" s="38">
        <f>AR26*AR29</f>
        <v/>
      </c>
      <c r="AS30" s="38">
        <f>AS26*AS29</f>
        <v/>
      </c>
      <c r="AT30" s="38">
        <f>AT26*AT29</f>
        <v/>
      </c>
      <c r="AU30" s="38">
        <f>AU26*AU29</f>
        <v/>
      </c>
      <c r="AV30" s="38">
        <f>AV26*AV29</f>
        <v/>
      </c>
      <c r="AW30" s="38">
        <f>AW26*AW29</f>
        <v/>
      </c>
      <c r="AX30" s="38">
        <f>AX26*AX29</f>
        <v/>
      </c>
      <c r="AY30" s="38">
        <f>AY26*AY29</f>
        <v/>
      </c>
      <c r="AZ30" s="38">
        <f>AZ26*AZ29</f>
        <v/>
      </c>
      <c r="BA30" s="38">
        <f>BA26*BA29</f>
        <v/>
      </c>
      <c r="BB30" s="38">
        <f>BB26*BB29</f>
        <v/>
      </c>
      <c r="BC30" s="38">
        <f>BC26*BC29</f>
        <v/>
      </c>
      <c r="BD30" s="38">
        <f>BD26*BD29</f>
        <v/>
      </c>
      <c r="BE30" s="38">
        <f>BE26*BE29</f>
        <v/>
      </c>
      <c r="BF30" s="38">
        <f>BF26*BF29</f>
        <v/>
      </c>
      <c r="BG30" s="38">
        <f>BG26*BG29</f>
        <v/>
      </c>
      <c r="BH30" s="37">
        <f>BH26*BH29</f>
        <v/>
      </c>
      <c r="BI30" s="37">
        <f>BI26*BI29</f>
        <v/>
      </c>
      <c r="BJ30" s="37">
        <f>BJ26*BJ29</f>
        <v/>
      </c>
      <c r="BK30" s="37">
        <f>BK26*BK29</f>
        <v/>
      </c>
      <c r="BL30" s="37">
        <f>BL26*BL29</f>
        <v/>
      </c>
      <c r="BM30" s="37">
        <f>BM26*BM29</f>
        <v/>
      </c>
      <c r="BN30" s="37">
        <f>BN26*BN29</f>
        <v/>
      </c>
      <c r="BO30" s="37">
        <f>BO26*BO29</f>
        <v/>
      </c>
      <c r="BP30" s="37">
        <f>BP26*BP29</f>
        <v/>
      </c>
      <c r="BQ30" s="37">
        <f>BQ26*BQ29</f>
        <v/>
      </c>
      <c r="BR30" s="30" t="inlineStr">
        <is>
          <t>Driver COGS=量×单颗COGS。</t>
        </is>
      </c>
    </row>
    <row r="31">
      <c r="A31" s="4" t="inlineStr">
        <is>
          <t>Optical</t>
        </is>
      </c>
      <c r="B31" s="5" t="inlineStr">
        <is>
          <t>Optical analog revenue (DSP+TIA+Driver)</t>
        </is>
      </c>
      <c r="C31" s="4" t="inlineStr">
        <is>
          <t>$000</t>
        </is>
      </c>
      <c r="D31" s="42">
        <f>D16+D23+D28</f>
        <v/>
      </c>
      <c r="E31" s="42">
        <f>E16+E23+E28</f>
        <v/>
      </c>
      <c r="F31" s="42">
        <f>F16+F23+F28</f>
        <v/>
      </c>
      <c r="G31" s="42">
        <f>G16+G23+G28</f>
        <v/>
      </c>
      <c r="H31" s="42">
        <f>H16+H23+H28</f>
        <v/>
      </c>
      <c r="I31" s="42">
        <f>I16+I23+I28</f>
        <v/>
      </c>
      <c r="J31" s="42">
        <f>J16+J23+J28</f>
        <v/>
      </c>
      <c r="K31" s="42">
        <f>K16+K23+K28</f>
        <v/>
      </c>
      <c r="L31" s="42">
        <f>L16+L23+L28</f>
        <v/>
      </c>
      <c r="M31" s="42">
        <f>M16+M23+M28</f>
        <v/>
      </c>
      <c r="N31" s="42">
        <f>N16+N23+N28</f>
        <v/>
      </c>
      <c r="O31" s="42">
        <f>O16+O23+O28</f>
        <v/>
      </c>
      <c r="P31" s="42">
        <f>P16+P23+P28</f>
        <v/>
      </c>
      <c r="R31" s="42">
        <f>R16+R23+R28</f>
        <v/>
      </c>
      <c r="S31" s="42">
        <f>S16+S23+S28</f>
        <v/>
      </c>
      <c r="T31" s="42">
        <f>T16+T23+T28</f>
        <v/>
      </c>
      <c r="U31" s="42">
        <f>U16+U23+U28</f>
        <v/>
      </c>
      <c r="V31" s="42">
        <f>V16+V23+V28</f>
        <v/>
      </c>
      <c r="W31" s="42">
        <f>W16+W23+W28</f>
        <v/>
      </c>
      <c r="X31" s="42">
        <f>X16+X23+X28</f>
        <v/>
      </c>
      <c r="Y31" s="42">
        <f>Y16+Y23+Y28</f>
        <v/>
      </c>
      <c r="Z31" s="42">
        <f>Z16+Z23+Z28</f>
        <v/>
      </c>
      <c r="AA31" s="42">
        <f>AA16+AA23+AA28</f>
        <v/>
      </c>
      <c r="AB31" s="42">
        <f>AB16+AB23+AB28</f>
        <v/>
      </c>
      <c r="AC31" s="42">
        <f>AC16+AC23+AC28</f>
        <v/>
      </c>
      <c r="AD31" s="42">
        <f>AD16+AD23+AD28</f>
        <v/>
      </c>
      <c r="AE31" s="42">
        <f>AE16+AE23+AE28</f>
        <v/>
      </c>
      <c r="AF31" s="42">
        <f>AF16+AF23+AF28</f>
        <v/>
      </c>
      <c r="AG31" s="42">
        <f>AG16+AG23+AG28</f>
        <v/>
      </c>
      <c r="AH31" s="42">
        <f>AH16+AH23+AH28</f>
        <v/>
      </c>
      <c r="AI31" s="42">
        <f>AI16+AI23+AI28</f>
        <v/>
      </c>
      <c r="AJ31" s="42">
        <f>AJ16+AJ23+AJ28</f>
        <v/>
      </c>
      <c r="AK31" s="42">
        <f>AK16+AK23+AK28</f>
        <v/>
      </c>
      <c r="AL31" s="42">
        <f>AL16+AL23+AL28</f>
        <v/>
      </c>
      <c r="AM31" s="42">
        <f>AM16+AM23+AM28</f>
        <v/>
      </c>
      <c r="AN31" s="42">
        <f>AN16+AN23+AN28</f>
        <v/>
      </c>
      <c r="AO31" s="42">
        <f>AO16+AO23+AO28</f>
        <v/>
      </c>
      <c r="AP31" s="42">
        <f>AP16+AP23+AP28</f>
        <v/>
      </c>
      <c r="AQ31" s="42">
        <f>AQ16+AQ23+AQ28</f>
        <v/>
      </c>
      <c r="AR31" s="42">
        <f>AR16+AR23+AR28</f>
        <v/>
      </c>
      <c r="AS31" s="42">
        <f>AS16+AS23+AS28</f>
        <v/>
      </c>
      <c r="AT31" s="42">
        <f>AT16+AT23+AT28</f>
        <v/>
      </c>
      <c r="AU31" s="42">
        <f>AU16+AU23+AU28</f>
        <v/>
      </c>
      <c r="AV31" s="42">
        <f>AV16+AV23+AV28</f>
        <v/>
      </c>
      <c r="AW31" s="42">
        <f>AW16+AW23+AW28</f>
        <v/>
      </c>
      <c r="AX31" s="42">
        <f>AX16+AX23+AX28</f>
        <v/>
      </c>
      <c r="AY31" s="42">
        <f>AY16+AY23+AY28</f>
        <v/>
      </c>
      <c r="AZ31" s="42">
        <f>AZ16+AZ23+AZ28</f>
        <v/>
      </c>
      <c r="BA31" s="42">
        <f>BA16+BA23+BA28</f>
        <v/>
      </c>
      <c r="BB31" s="42">
        <f>BB16+BB23+BB28</f>
        <v/>
      </c>
      <c r="BC31" s="42">
        <f>BC16+BC23+BC28</f>
        <v/>
      </c>
      <c r="BD31" s="42">
        <f>BD16+BD23+BD28</f>
        <v/>
      </c>
      <c r="BE31" s="42">
        <f>BE16+BE23+BE28</f>
        <v/>
      </c>
      <c r="BF31" s="42">
        <f>BF16+BF23+BF28</f>
        <v/>
      </c>
      <c r="BG31" s="42">
        <f>BG16+BG23+BG28</f>
        <v/>
      </c>
      <c r="BH31" s="42">
        <f>BH16+BH23+BH28</f>
        <v/>
      </c>
      <c r="BI31" s="42">
        <f>BI16+BI23+BI28</f>
        <v/>
      </c>
      <c r="BJ31" s="42">
        <f>BJ16+BJ23+BJ28</f>
        <v/>
      </c>
      <c r="BK31" s="42">
        <f>BK16+BK23+BK28</f>
        <v/>
      </c>
      <c r="BL31" s="42">
        <f>BL16+BL23+BL28</f>
        <v/>
      </c>
      <c r="BM31" s="42">
        <f>BM16+BM23+BM28</f>
        <v/>
      </c>
      <c r="BN31" s="42">
        <f>BN16+BN23+BN28</f>
        <v/>
      </c>
      <c r="BO31" s="42">
        <f>BO16+BO23+BO28</f>
        <v/>
      </c>
      <c r="BP31" s="42">
        <f>BP16+BP23+BP28</f>
        <v/>
      </c>
      <c r="BQ31" s="42">
        <f>BQ16+BQ23+BQ28</f>
        <v/>
      </c>
      <c r="BR31" s="30" t="inlineStr">
        <is>
          <t>光学模拟合计。应对齐公司FY26光学$210–230m量级；本模型因Q2基础设施$85m+Q3公司指引而取~$241m。2027 Rushmore+TIA/Driver，$475m；2028 $795m。</t>
        </is>
      </c>
    </row>
    <row r="32">
      <c r="A32" s="4" t="inlineStr">
        <is>
          <t>Infra</t>
        </is>
      </c>
      <c r="B32" s="7" t="inlineStr">
        <is>
          <t>Other infrastructure (wireless, HPA, IP)</t>
        </is>
      </c>
      <c r="C32" s="4" t="inlineStr">
        <is>
          <t>$000</t>
        </is>
      </c>
      <c r="D32" s="35" t="n">
        <v>28000</v>
      </c>
      <c r="E32" s="35" t="n">
        <v>38000</v>
      </c>
      <c r="F32" s="35" t="n">
        <v>35000</v>
      </c>
      <c r="G32" s="35" t="n">
        <v>32000</v>
      </c>
      <c r="H32" s="35" t="n">
        <v>70000</v>
      </c>
      <c r="I32" s="35" t="n">
        <v>119421</v>
      </c>
      <c r="J32" s="35" t="n">
        <v>136274</v>
      </c>
      <c r="K32" s="35" t="n">
        <v>177083</v>
      </c>
      <c r="L32" s="35" t="n">
        <v>104307</v>
      </c>
      <c r="M32" s="35" t="n">
        <v>92164</v>
      </c>
      <c r="N32" s="36">
        <f>BF32+BG32+BH32+BI32</f>
        <v/>
      </c>
      <c r="O32" s="37">
        <f>BJ32+BK32+BL32+BM32</f>
        <v/>
      </c>
      <c r="P32" s="37">
        <f>BN32+BO32+BP32+BQ32</f>
        <v/>
      </c>
      <c r="R32" s="35" t="n">
        <v>7413</v>
      </c>
      <c r="S32" s="35" t="n">
        <v>7342</v>
      </c>
      <c r="T32" s="35" t="n">
        <v>6954</v>
      </c>
      <c r="U32" s="35" t="n">
        <v>6290</v>
      </c>
      <c r="V32" s="35" t="n">
        <v>8031</v>
      </c>
      <c r="W32" s="35" t="n">
        <v>9418</v>
      </c>
      <c r="X32" s="35" t="n">
        <v>10269</v>
      </c>
      <c r="Y32" s="35" t="n">
        <v>10282</v>
      </c>
      <c r="Z32" s="35" t="n">
        <v>10076</v>
      </c>
      <c r="AA32" s="35" t="n">
        <v>9231</v>
      </c>
      <c r="AB32" s="35" t="n">
        <v>7728</v>
      </c>
      <c r="AC32" s="35" t="n">
        <v>7967</v>
      </c>
      <c r="AD32" s="35" t="n">
        <v>8538</v>
      </c>
      <c r="AE32" s="35" t="n">
        <v>8324</v>
      </c>
      <c r="AF32" s="35" t="n">
        <v>8073</v>
      </c>
      <c r="AG32" s="35" t="n">
        <v>7064</v>
      </c>
      <c r="AH32" s="35" t="n">
        <v>9072</v>
      </c>
      <c r="AI32" s="35" t="n">
        <v>9539</v>
      </c>
      <c r="AJ32" s="35" t="n">
        <v>22910</v>
      </c>
      <c r="AK32" s="35" t="n">
        <v>28479</v>
      </c>
      <c r="AL32" s="35" t="n">
        <v>28016</v>
      </c>
      <c r="AM32" s="35" t="n">
        <v>27483</v>
      </c>
      <c r="AN32" s="35" t="n">
        <v>30748</v>
      </c>
      <c r="AO32" s="35" t="n">
        <v>33173</v>
      </c>
      <c r="AP32" s="35" t="n">
        <v>32105</v>
      </c>
      <c r="AQ32" s="35" t="n">
        <v>34062</v>
      </c>
      <c r="AR32" s="35" t="n">
        <v>34758</v>
      </c>
      <c r="AS32" s="35" t="n">
        <v>35349</v>
      </c>
      <c r="AT32" s="35" t="n">
        <v>63461</v>
      </c>
      <c r="AU32" s="35" t="n">
        <v>46984</v>
      </c>
      <c r="AV32" s="35" t="n">
        <v>34619</v>
      </c>
      <c r="AW32" s="35" t="n">
        <v>32020</v>
      </c>
      <c r="AX32" s="35" t="n">
        <v>27563</v>
      </c>
      <c r="AY32" s="35" t="n">
        <v>26614</v>
      </c>
      <c r="AZ32" s="35" t="n">
        <v>23464</v>
      </c>
      <c r="BA32" s="35" t="n">
        <v>26666</v>
      </c>
      <c r="BB32" s="35" t="n">
        <v>20533</v>
      </c>
      <c r="BC32" s="35" t="n">
        <v>22713</v>
      </c>
      <c r="BD32" s="35" t="n">
        <v>22359</v>
      </c>
      <c r="BE32" s="35" t="n">
        <v>23227</v>
      </c>
      <c r="BF32" s="35" t="n">
        <v>27788</v>
      </c>
      <c r="BG32" s="35" t="n">
        <v>32947</v>
      </c>
      <c r="BH32" s="43" t="n">
        <v>42110</v>
      </c>
      <c r="BI32" s="43" t="n">
        <v>44554</v>
      </c>
      <c r="BJ32" s="43" t="n">
        <v>43000</v>
      </c>
      <c r="BK32" s="43" t="n">
        <v>44000</v>
      </c>
      <c r="BL32" s="43" t="n">
        <v>45000</v>
      </c>
      <c r="BM32" s="43" t="n">
        <v>46000</v>
      </c>
      <c r="BN32" s="43" t="n">
        <v>47000</v>
      </c>
      <c r="BO32" s="43" t="n">
        <v>48000</v>
      </c>
      <c r="BP32" s="43" t="n">
        <v>49000</v>
      </c>
      <c r="BQ32" s="43" t="n">
        <v>50000</v>
      </c>
      <c r="BR32" s="30" t="inlineStr">
        <is>
          <t>基础设施中非光学：无线回传、微波、HPA、IP授权。历史=报告Infrastructure−光学拆分。</t>
        </is>
      </c>
    </row>
    <row r="33">
      <c r="A33" s="4" t="inlineStr">
        <is>
          <t>Other</t>
        </is>
      </c>
      <c r="B33" s="7" t="inlineStr">
        <is>
          <t>Broadband revenue</t>
        </is>
      </c>
      <c r="C33" s="4" t="inlineStr">
        <is>
          <t>$000</t>
        </is>
      </c>
      <c r="D33" s="35" t="n">
        <v>302000</v>
      </c>
      <c r="E33" s="35" t="n">
        <v>310000</v>
      </c>
      <c r="F33" s="35" t="n">
        <v>280000</v>
      </c>
      <c r="G33" s="35" t="n">
        <v>220000</v>
      </c>
      <c r="H33" s="35" t="n">
        <v>280000</v>
      </c>
      <c r="I33" s="35" t="n">
        <v>492482</v>
      </c>
      <c r="J33" s="35" t="n">
        <v>493232</v>
      </c>
      <c r="K33" s="35" t="n">
        <v>203519</v>
      </c>
      <c r="L33" s="35" t="n">
        <v>116819</v>
      </c>
      <c r="M33" s="35" t="n">
        <v>204423</v>
      </c>
      <c r="N33" s="36">
        <f>BF33+BG33+BH33+BI33</f>
        <v/>
      </c>
      <c r="O33" s="37">
        <f>BJ33+BK33+BL33+BM33</f>
        <v/>
      </c>
      <c r="P33" s="37">
        <f>BN33+BO33+BP33+BQ33</f>
        <v/>
      </c>
      <c r="R33" s="35" t="n">
        <v>79960</v>
      </c>
      <c r="S33" s="35" t="n">
        <v>79182</v>
      </c>
      <c r="T33" s="35" t="n">
        <v>75006</v>
      </c>
      <c r="U33" s="35" t="n">
        <v>67852</v>
      </c>
      <c r="V33" s="35" t="n">
        <v>65524</v>
      </c>
      <c r="W33" s="35" t="n">
        <v>76833</v>
      </c>
      <c r="X33" s="35" t="n">
        <v>83770</v>
      </c>
      <c r="Y33" s="35" t="n">
        <v>83873</v>
      </c>
      <c r="Z33" s="35" t="n">
        <v>80602</v>
      </c>
      <c r="AA33" s="35" t="n">
        <v>73843</v>
      </c>
      <c r="AB33" s="35" t="n">
        <v>61826</v>
      </c>
      <c r="AC33" s="35" t="n">
        <v>63729</v>
      </c>
      <c r="AD33" s="35" t="n">
        <v>58704</v>
      </c>
      <c r="AE33" s="35" t="n">
        <v>57228</v>
      </c>
      <c r="AF33" s="35" t="n">
        <v>55503</v>
      </c>
      <c r="AG33" s="35" t="n">
        <v>48565</v>
      </c>
      <c r="AH33" s="35" t="n">
        <v>36289</v>
      </c>
      <c r="AI33" s="35" t="n">
        <v>38157</v>
      </c>
      <c r="AJ33" s="35" t="n">
        <v>91637</v>
      </c>
      <c r="AK33" s="35" t="n">
        <v>113918</v>
      </c>
      <c r="AL33" s="35" t="n">
        <v>115538</v>
      </c>
      <c r="AM33" s="35" t="n">
        <v>113340</v>
      </c>
      <c r="AN33" s="35" t="n">
        <v>126804</v>
      </c>
      <c r="AO33" s="35" t="n">
        <v>136801</v>
      </c>
      <c r="AP33" s="35" t="n">
        <v>116204</v>
      </c>
      <c r="AQ33" s="35" t="n">
        <v>123284</v>
      </c>
      <c r="AR33" s="35" t="n">
        <v>125803</v>
      </c>
      <c r="AS33" s="35" t="n">
        <v>127941</v>
      </c>
      <c r="AT33" s="35" t="n">
        <v>72934</v>
      </c>
      <c r="AU33" s="35" t="n">
        <v>53998</v>
      </c>
      <c r="AV33" s="35" t="n">
        <v>39787</v>
      </c>
      <c r="AW33" s="35" t="n">
        <v>36799</v>
      </c>
      <c r="AX33" s="35" t="n">
        <v>30869</v>
      </c>
      <c r="AY33" s="35" t="n">
        <v>29807</v>
      </c>
      <c r="AZ33" s="35" t="n">
        <v>26279</v>
      </c>
      <c r="BA33" s="35" t="n">
        <v>29864</v>
      </c>
      <c r="BB33" s="35" t="n">
        <v>40900</v>
      </c>
      <c r="BC33" s="35" t="n">
        <v>47600</v>
      </c>
      <c r="BD33" s="35" t="n">
        <v>58200</v>
      </c>
      <c r="BE33" s="35" t="n">
        <v>59641</v>
      </c>
      <c r="BF33" s="35" t="n">
        <v>43600</v>
      </c>
      <c r="BG33" s="35" t="n">
        <v>44900</v>
      </c>
      <c r="BH33" s="43" t="n">
        <v>52000</v>
      </c>
      <c r="BI33" s="43" t="n">
        <v>54000</v>
      </c>
      <c r="BJ33" s="43" t="n">
        <v>56000</v>
      </c>
      <c r="BK33" s="43" t="n">
        <v>57500</v>
      </c>
      <c r="BL33" s="43" t="n">
        <v>59000</v>
      </c>
      <c r="BM33" s="43" t="n">
        <v>60500</v>
      </c>
      <c r="BN33" s="43" t="n">
        <v>62000</v>
      </c>
      <c r="BO33" s="43" t="n">
        <v>63500</v>
      </c>
      <c r="BP33" s="43" t="n">
        <v>65000</v>
      </c>
      <c r="BQ33" s="43" t="n">
        <v>66500</v>
      </c>
      <c r="BR33" s="30" t="inlineStr">
        <is>
          <t>宽带（DOCSIS/网关/连接家庭）。2021–22高峰~$493m，2024谷底$117m，2025回升$204m。Q2'26 $44.9m。预测随Wi-Fi 7/DOCSIS缓慢修复。2016–20为估算映射。</t>
        </is>
      </c>
    </row>
    <row r="34">
      <c r="A34" s="4" t="inlineStr">
        <is>
          <t>Other</t>
        </is>
      </c>
      <c r="B34" s="7" t="inlineStr">
        <is>
          <t>Connectivity revenue</t>
        </is>
      </c>
      <c r="C34" s="4" t="inlineStr">
        <is>
          <t>$000</t>
        </is>
      </c>
      <c r="D34" s="35" t="n">
        <v>35000</v>
      </c>
      <c r="E34" s="35" t="n">
        <v>40000</v>
      </c>
      <c r="F34" s="35" t="n">
        <v>42000</v>
      </c>
      <c r="G34" s="35" t="n">
        <v>38000</v>
      </c>
      <c r="H34" s="35" t="n">
        <v>55000</v>
      </c>
      <c r="I34" s="35" t="n">
        <v>149285</v>
      </c>
      <c r="J34" s="35" t="n">
        <v>303925</v>
      </c>
      <c r="K34" s="35" t="n">
        <v>138228</v>
      </c>
      <c r="L34" s="35" t="n">
        <v>55769</v>
      </c>
      <c r="M34" s="35" t="n">
        <v>77990</v>
      </c>
      <c r="N34" s="36">
        <f>BF34+BG34+BH34+BI34</f>
        <v/>
      </c>
      <c r="O34" s="37">
        <f>BJ34+BK34+BL34+BM34</f>
        <v/>
      </c>
      <c r="P34" s="37">
        <f>BN34+BO34+BP34+BQ34</f>
        <v/>
      </c>
      <c r="R34" s="35" t="n">
        <v>9267</v>
      </c>
      <c r="S34" s="35" t="n">
        <v>9177</v>
      </c>
      <c r="T34" s="35" t="n">
        <v>8693</v>
      </c>
      <c r="U34" s="35" t="n">
        <v>7864</v>
      </c>
      <c r="V34" s="35" t="n">
        <v>8455</v>
      </c>
      <c r="W34" s="35" t="n">
        <v>9914</v>
      </c>
      <c r="X34" s="35" t="n">
        <v>10809</v>
      </c>
      <c r="Y34" s="35" t="n">
        <v>10822</v>
      </c>
      <c r="Z34" s="35" t="n">
        <v>12090</v>
      </c>
      <c r="AA34" s="35" t="n">
        <v>11076</v>
      </c>
      <c r="AB34" s="35" t="n">
        <v>9274</v>
      </c>
      <c r="AC34" s="35" t="n">
        <v>9559</v>
      </c>
      <c r="AD34" s="35" t="n">
        <v>10140</v>
      </c>
      <c r="AE34" s="35" t="n">
        <v>9885</v>
      </c>
      <c r="AF34" s="35" t="n">
        <v>9587</v>
      </c>
      <c r="AG34" s="35" t="n">
        <v>8389</v>
      </c>
      <c r="AH34" s="35" t="n">
        <v>7128</v>
      </c>
      <c r="AI34" s="35" t="n">
        <v>7495</v>
      </c>
      <c r="AJ34" s="35" t="n">
        <v>18000</v>
      </c>
      <c r="AK34" s="35" t="n">
        <v>22377</v>
      </c>
      <c r="AL34" s="35" t="n">
        <v>35023</v>
      </c>
      <c r="AM34" s="35" t="n">
        <v>34356</v>
      </c>
      <c r="AN34" s="35" t="n">
        <v>38438</v>
      </c>
      <c r="AO34" s="35" t="n">
        <v>41468</v>
      </c>
      <c r="AP34" s="35" t="n">
        <v>71604</v>
      </c>
      <c r="AQ34" s="35" t="n">
        <v>75967</v>
      </c>
      <c r="AR34" s="35" t="n">
        <v>77519</v>
      </c>
      <c r="AS34" s="35" t="n">
        <v>78836</v>
      </c>
      <c r="AT34" s="35" t="n">
        <v>49536</v>
      </c>
      <c r="AU34" s="35" t="n">
        <v>36675</v>
      </c>
      <c r="AV34" s="35" t="n">
        <v>27023</v>
      </c>
      <c r="AW34" s="35" t="n">
        <v>24994</v>
      </c>
      <c r="AX34" s="35" t="n">
        <v>14737</v>
      </c>
      <c r="AY34" s="35" t="n">
        <v>14230</v>
      </c>
      <c r="AZ34" s="35" t="n">
        <v>12545</v>
      </c>
      <c r="BA34" s="35" t="n">
        <v>14257</v>
      </c>
      <c r="BB34" s="35" t="n">
        <v>20200</v>
      </c>
      <c r="BC34" s="35" t="n">
        <v>20700</v>
      </c>
      <c r="BD34" s="35" t="n">
        <v>19000</v>
      </c>
      <c r="BE34" s="35" t="n">
        <v>22754</v>
      </c>
      <c r="BF34" s="35" t="n">
        <v>18600</v>
      </c>
      <c r="BG34" s="35" t="n">
        <v>24000</v>
      </c>
      <c r="BH34" s="43" t="n">
        <v>30000</v>
      </c>
      <c r="BI34" s="43" t="n">
        <v>32000</v>
      </c>
      <c r="BJ34" s="43" t="n">
        <v>34000</v>
      </c>
      <c r="BK34" s="43" t="n">
        <v>35500</v>
      </c>
      <c r="BL34" s="43" t="n">
        <v>37000</v>
      </c>
      <c r="BM34" s="43" t="n">
        <v>38500</v>
      </c>
      <c r="BN34" s="43" t="n">
        <v>40000</v>
      </c>
      <c r="BO34" s="43" t="n">
        <v>41500</v>
      </c>
      <c r="BP34" s="43" t="n">
        <v>43000</v>
      </c>
      <c r="BQ34" s="43" t="n">
        <v>44500</v>
      </c>
      <c r="BR34" s="30" t="inlineStr">
        <is>
          <t>连接（Wi-Fi/以太网等）。2022高峰$304m，2024 $56m，Q2'26 $24.0m。预测随Wi-Fi 7温和增长。</t>
        </is>
      </c>
    </row>
    <row r="35">
      <c r="A35" s="4" t="inlineStr">
        <is>
          <t>Other</t>
        </is>
      </c>
      <c r="B35" s="7" t="inlineStr">
        <is>
          <t>Industrial / multi-market</t>
        </is>
      </c>
      <c r="C35" s="4" t="inlineStr">
        <is>
          <t>$000</t>
        </is>
      </c>
      <c r="D35" s="35" t="n">
        <v>22832</v>
      </c>
      <c r="E35" s="35" t="n">
        <v>32318</v>
      </c>
      <c r="F35" s="35" t="n">
        <v>27997</v>
      </c>
      <c r="G35" s="35" t="n">
        <v>27180</v>
      </c>
      <c r="H35" s="35" t="n">
        <v>73596</v>
      </c>
      <c r="I35" s="35" t="n">
        <v>131210</v>
      </c>
      <c r="J35" s="35" t="n">
        <v>186821</v>
      </c>
      <c r="K35" s="35" t="n">
        <v>174433</v>
      </c>
      <c r="L35" s="35" t="n">
        <v>74033</v>
      </c>
      <c r="M35" s="35" t="n">
        <v>37064</v>
      </c>
      <c r="N35" s="36">
        <f>BF35+BG35+BH35+BI35</f>
        <v/>
      </c>
      <c r="O35" s="37">
        <f>BJ35+BK35+BL35+BM35</f>
        <v/>
      </c>
      <c r="P35" s="37">
        <f>BN35+BO35+BP35+BQ35</f>
        <v/>
      </c>
      <c r="R35" s="35" t="n">
        <v>6045</v>
      </c>
      <c r="S35" s="35" t="n">
        <v>5986</v>
      </c>
      <c r="T35" s="35" t="n">
        <v>5671</v>
      </c>
      <c r="U35" s="35" t="n">
        <v>5130</v>
      </c>
      <c r="V35" s="35" t="n">
        <v>6831</v>
      </c>
      <c r="W35" s="35" t="n">
        <v>8010</v>
      </c>
      <c r="X35" s="35" t="n">
        <v>8733</v>
      </c>
      <c r="Y35" s="35" t="n">
        <v>8744</v>
      </c>
      <c r="Z35" s="35" t="n">
        <v>8059</v>
      </c>
      <c r="AA35" s="35" t="n">
        <v>7383</v>
      </c>
      <c r="AB35" s="35" t="n">
        <v>6182</v>
      </c>
      <c r="AC35" s="35" t="n">
        <v>6372</v>
      </c>
      <c r="AD35" s="35" t="n">
        <v>7253</v>
      </c>
      <c r="AE35" s="35" t="n">
        <v>7070</v>
      </c>
      <c r="AF35" s="35" t="n">
        <v>6857</v>
      </c>
      <c r="AG35" s="35" t="n">
        <v>6000</v>
      </c>
      <c r="AH35" s="35" t="n">
        <v>9538</v>
      </c>
      <c r="AI35" s="35" t="n">
        <v>10029</v>
      </c>
      <c r="AJ35" s="35" t="n">
        <v>24086</v>
      </c>
      <c r="AK35" s="35" t="n">
        <v>29942</v>
      </c>
      <c r="AL35" s="35" t="n">
        <v>30782</v>
      </c>
      <c r="AM35" s="35" t="n">
        <v>30197</v>
      </c>
      <c r="AN35" s="35" t="n">
        <v>33784</v>
      </c>
      <c r="AO35" s="35" t="n">
        <v>36447</v>
      </c>
      <c r="AP35" s="35" t="n">
        <v>44014</v>
      </c>
      <c r="AQ35" s="35" t="n">
        <v>46696</v>
      </c>
      <c r="AR35" s="35" t="n">
        <v>47650</v>
      </c>
      <c r="AS35" s="35" t="n">
        <v>48460</v>
      </c>
      <c r="AT35" s="35" t="n">
        <v>62511</v>
      </c>
      <c r="AU35" s="35" t="n">
        <v>46281</v>
      </c>
      <c r="AV35" s="35" t="n">
        <v>34101</v>
      </c>
      <c r="AW35" s="35" t="n">
        <v>31540</v>
      </c>
      <c r="AX35" s="35" t="n">
        <v>19563</v>
      </c>
      <c r="AY35" s="35" t="n">
        <v>18890</v>
      </c>
      <c r="AZ35" s="35" t="n">
        <v>16654</v>
      </c>
      <c r="BA35" s="35" t="n">
        <v>18926</v>
      </c>
      <c r="BB35" s="35" t="n">
        <v>8300</v>
      </c>
      <c r="BC35" s="35" t="n">
        <v>5800</v>
      </c>
      <c r="BD35" s="35" t="n">
        <v>8900</v>
      </c>
      <c r="BE35" s="35" t="n">
        <v>10814</v>
      </c>
      <c r="BF35" s="35" t="n">
        <v>12200</v>
      </c>
      <c r="BG35" s="35" t="n">
        <v>15000</v>
      </c>
      <c r="BH35" s="43" t="n">
        <v>15500</v>
      </c>
      <c r="BI35" s="43" t="n">
        <v>16000</v>
      </c>
      <c r="BJ35" s="43" t="n">
        <v>16500</v>
      </c>
      <c r="BK35" s="43" t="n">
        <v>17000</v>
      </c>
      <c r="BL35" s="43" t="n">
        <v>17500</v>
      </c>
      <c r="BM35" s="43" t="n">
        <v>18000</v>
      </c>
      <c r="BN35" s="43" t="n">
        <v>18500</v>
      </c>
      <c r="BO35" s="43" t="n">
        <v>19000</v>
      </c>
      <c r="BP35" s="43" t="n">
        <v>19500</v>
      </c>
      <c r="BQ35" s="43" t="n">
        <v>20000</v>
      </c>
      <c r="BR35" s="30" t="inlineStr">
        <is>
          <t>工业与多市场。2025仅$37m。Q2'26 $15.0m。预测维持低双位数百万/季。</t>
        </is>
      </c>
    </row>
    <row r="36">
      <c r="A36" s="4" t="inlineStr">
        <is>
          <t>Total</t>
        </is>
      </c>
      <c r="B36" s="5" t="inlineStr">
        <is>
          <t>Total revenue (drivers)</t>
        </is>
      </c>
      <c r="C36" s="4" t="inlineStr">
        <is>
          <t>$000</t>
        </is>
      </c>
      <c r="D36" s="42">
        <f>D31+D32+D33+D34+D35</f>
        <v/>
      </c>
      <c r="E36" s="42">
        <f>E31+E32+E33+E34+E35</f>
        <v/>
      </c>
      <c r="F36" s="42">
        <f>F31+F32+F33+F34+F35</f>
        <v/>
      </c>
      <c r="G36" s="42">
        <f>G31+G32+G33+G34+G35</f>
        <v/>
      </c>
      <c r="H36" s="42">
        <f>H31+H32+H33+H34+H35</f>
        <v/>
      </c>
      <c r="I36" s="42">
        <f>I31+I32+I33+I34+I35</f>
        <v/>
      </c>
      <c r="J36" s="42">
        <f>J31+J32+J33+J34+J35</f>
        <v/>
      </c>
      <c r="K36" s="42">
        <f>K31+K32+K33+K34+K35</f>
        <v/>
      </c>
      <c r="L36" s="42">
        <f>L31+L32+L33+L34+L35</f>
        <v/>
      </c>
      <c r="M36" s="42">
        <f>M31+M32+M33+M34+M35</f>
        <v/>
      </c>
      <c r="N36" s="42">
        <f>N31+N32+N33+N34+N35</f>
        <v/>
      </c>
      <c r="O36" s="42">
        <f>O31+O32+O33+O34+O35</f>
        <v/>
      </c>
      <c r="P36" s="42">
        <f>P31+P32+P33+P34+P35</f>
        <v/>
      </c>
      <c r="R36" s="42">
        <f>R31+R32+R33+R34+R35</f>
        <v/>
      </c>
      <c r="S36" s="42">
        <f>S31+S32+S33+S34+S35</f>
        <v/>
      </c>
      <c r="T36" s="42">
        <f>T31+T32+T33+T34+T35</f>
        <v/>
      </c>
      <c r="U36" s="42">
        <f>U31+U32+U33+U34+U35</f>
        <v/>
      </c>
      <c r="V36" s="42">
        <f>V31+V32+V33+V34+V35</f>
        <v/>
      </c>
      <c r="W36" s="42">
        <f>W31+W32+W33+W34+W35</f>
        <v/>
      </c>
      <c r="X36" s="42">
        <f>X31+X32+X33+X34+X35</f>
        <v/>
      </c>
      <c r="Y36" s="42">
        <f>Y31+Y32+Y33+Y34+Y35</f>
        <v/>
      </c>
      <c r="Z36" s="42">
        <f>Z31+Z32+Z33+Z34+Z35</f>
        <v/>
      </c>
      <c r="AA36" s="42">
        <f>AA31+AA32+AA33+AA34+AA35</f>
        <v/>
      </c>
      <c r="AB36" s="42">
        <f>AB31+AB32+AB33+AB34+AB35</f>
        <v/>
      </c>
      <c r="AC36" s="42">
        <f>AC31+AC32+AC33+AC34+AC35</f>
        <v/>
      </c>
      <c r="AD36" s="42">
        <f>AD31+AD32+AD33+AD34+AD35</f>
        <v/>
      </c>
      <c r="AE36" s="42">
        <f>AE31+AE32+AE33+AE34+AE35</f>
        <v/>
      </c>
      <c r="AF36" s="42">
        <f>AF31+AF32+AF33+AF34+AF35</f>
        <v/>
      </c>
      <c r="AG36" s="42">
        <f>AG31+AG32+AG33+AG34+AG35</f>
        <v/>
      </c>
      <c r="AH36" s="42">
        <f>AH31+AH32+AH33+AH34+AH35</f>
        <v/>
      </c>
      <c r="AI36" s="42">
        <f>AI31+AI32+AI33+AI34+AI35</f>
        <v/>
      </c>
      <c r="AJ36" s="42">
        <f>AJ31+AJ32+AJ33+AJ34+AJ35</f>
        <v/>
      </c>
      <c r="AK36" s="42">
        <f>AK31+AK32+AK33+AK34+AK35</f>
        <v/>
      </c>
      <c r="AL36" s="42">
        <f>AL31+AL32+AL33+AL34+AL35</f>
        <v/>
      </c>
      <c r="AM36" s="42">
        <f>AM31+AM32+AM33+AM34+AM35</f>
        <v/>
      </c>
      <c r="AN36" s="42">
        <f>AN31+AN32+AN33+AN34+AN35</f>
        <v/>
      </c>
      <c r="AO36" s="42">
        <f>AO31+AO32+AO33+AO34+AO35</f>
        <v/>
      </c>
      <c r="AP36" s="42">
        <f>AP31+AP32+AP33+AP34+AP35</f>
        <v/>
      </c>
      <c r="AQ36" s="42">
        <f>AQ31+AQ32+AQ33+AQ34+AQ35</f>
        <v/>
      </c>
      <c r="AR36" s="42">
        <f>AR31+AR32+AR33+AR34+AR35</f>
        <v/>
      </c>
      <c r="AS36" s="42">
        <f>AS31+AS32+AS33+AS34+AS35</f>
        <v/>
      </c>
      <c r="AT36" s="42">
        <f>AT31+AT32+AT33+AT34+AT35</f>
        <v/>
      </c>
      <c r="AU36" s="42">
        <f>AU31+AU32+AU33+AU34+AU35</f>
        <v/>
      </c>
      <c r="AV36" s="42">
        <f>AV31+AV32+AV33+AV34+AV35</f>
        <v/>
      </c>
      <c r="AW36" s="42">
        <f>AW31+AW32+AW33+AW34+AW35</f>
        <v/>
      </c>
      <c r="AX36" s="42">
        <f>AX31+AX32+AX33+AX34+AX35</f>
        <v/>
      </c>
      <c r="AY36" s="42">
        <f>AY31+AY32+AY33+AY34+AY35</f>
        <v/>
      </c>
      <c r="AZ36" s="42">
        <f>AZ31+AZ32+AZ33+AZ34+AZ35</f>
        <v/>
      </c>
      <c r="BA36" s="42">
        <f>BA31+BA32+BA33+BA34+BA35</f>
        <v/>
      </c>
      <c r="BB36" s="42">
        <f>BB31+BB32+BB33+BB34+BB35</f>
        <v/>
      </c>
      <c r="BC36" s="42">
        <f>BC31+BC32+BC33+BC34+BC35</f>
        <v/>
      </c>
      <c r="BD36" s="42">
        <f>BD31+BD32+BD33+BD34+BD35</f>
        <v/>
      </c>
      <c r="BE36" s="42">
        <f>BE31+BE32+BE33+BE34+BE35</f>
        <v/>
      </c>
      <c r="BF36" s="42">
        <f>BF31+BF32+BF33+BF34+BF35</f>
        <v/>
      </c>
      <c r="BG36" s="42">
        <f>BG31+BG32+BG33+BG34+BG35</f>
        <v/>
      </c>
      <c r="BH36" s="42">
        <f>BH31+BH32+BH33+BH34+BH35</f>
        <v/>
      </c>
      <c r="BI36" s="42">
        <f>BI31+BI32+BI33+BI34+BI35</f>
        <v/>
      </c>
      <c r="BJ36" s="42">
        <f>BJ31+BJ32+BJ33+BJ34+BJ35</f>
        <v/>
      </c>
      <c r="BK36" s="42">
        <f>BK31+BK32+BK33+BK34+BK35</f>
        <v/>
      </c>
      <c r="BL36" s="42">
        <f>BL31+BL32+BL33+BL34+BL35</f>
        <v/>
      </c>
      <c r="BM36" s="42">
        <f>BM31+BM32+BM33+BM34+BM35</f>
        <v/>
      </c>
      <c r="BN36" s="42">
        <f>BN31+BN32+BN33+BN34+BN35</f>
        <v/>
      </c>
      <c r="BO36" s="42">
        <f>BO31+BO32+BO33+BO34+BO35</f>
        <v/>
      </c>
      <c r="BP36" s="42">
        <f>BP31+BP32+BP33+BP34+BP35</f>
        <v/>
      </c>
      <c r="BQ36" s="42">
        <f>BQ31+BQ32+BQ33+BQ34+BQ35</f>
        <v/>
      </c>
      <c r="BR36" s="30" t="inlineStr">
        <is>
          <t>驱动加总，必须等于P&amp;L收入（见勾稽）。</t>
        </is>
      </c>
    </row>
    <row r="37">
      <c r="A37" s="4" t="inlineStr">
        <is>
          <t>Mix</t>
        </is>
      </c>
      <c r="B37" s="7" t="inlineStr">
        <is>
          <t>Optical % of total revenue</t>
        </is>
      </c>
      <c r="C37" s="4" t="inlineStr">
        <is>
          <t>%</t>
        </is>
      </c>
      <c r="D37" s="39">
        <f>IF(D36=0,0,D31/D36)</f>
        <v/>
      </c>
      <c r="E37" s="39">
        <f>IF(E36=0,0,E31/E36)</f>
        <v/>
      </c>
      <c r="F37" s="39">
        <f>IF(F36=0,0,F31/F36)</f>
        <v/>
      </c>
      <c r="G37" s="39">
        <f>IF(G36=0,0,G31/G36)</f>
        <v/>
      </c>
      <c r="H37" s="39">
        <f>IF(H36=0,0,H31/H36)</f>
        <v/>
      </c>
      <c r="I37" s="39">
        <f>IF(I36=0,0,I31/I36)</f>
        <v/>
      </c>
      <c r="J37" s="39">
        <f>IF(J36=0,0,J31/J36)</f>
        <v/>
      </c>
      <c r="K37" s="39">
        <f>IF(K36=0,0,K31/K36)</f>
        <v/>
      </c>
      <c r="L37" s="39">
        <f>IF(L36=0,0,L31/L36)</f>
        <v/>
      </c>
      <c r="M37" s="39">
        <f>IF(M36=0,0,M31/M36)</f>
        <v/>
      </c>
      <c r="N37" s="40">
        <f>IF(N36=0,0,N31/N36)</f>
        <v/>
      </c>
      <c r="O37" s="41">
        <f>IF(O36=0,0,O31/O36)</f>
        <v/>
      </c>
      <c r="P37" s="41">
        <f>IF(P36=0,0,P31/P36)</f>
        <v/>
      </c>
      <c r="R37" s="39">
        <f>IF(R36=0,0,R31/R36)</f>
        <v/>
      </c>
      <c r="S37" s="39">
        <f>IF(S36=0,0,S31/S36)</f>
        <v/>
      </c>
      <c r="T37" s="39">
        <f>IF(T36=0,0,T31/T36)</f>
        <v/>
      </c>
      <c r="U37" s="39">
        <f>IF(U36=0,0,U31/U36)</f>
        <v/>
      </c>
      <c r="V37" s="39">
        <f>IF(V36=0,0,V31/V36)</f>
        <v/>
      </c>
      <c r="W37" s="39">
        <f>IF(W36=0,0,W31/W36)</f>
        <v/>
      </c>
      <c r="X37" s="39">
        <f>IF(X36=0,0,X31/X36)</f>
        <v/>
      </c>
      <c r="Y37" s="39">
        <f>IF(Y36=0,0,Y31/Y36)</f>
        <v/>
      </c>
      <c r="Z37" s="39">
        <f>IF(Z36=0,0,Z31/Z36)</f>
        <v/>
      </c>
      <c r="AA37" s="39">
        <f>IF(AA36=0,0,AA31/AA36)</f>
        <v/>
      </c>
      <c r="AB37" s="39">
        <f>IF(AB36=0,0,AB31/AB36)</f>
        <v/>
      </c>
      <c r="AC37" s="39">
        <f>IF(AC36=0,0,AC31/AC36)</f>
        <v/>
      </c>
      <c r="AD37" s="39">
        <f>IF(AD36=0,0,AD31/AD36)</f>
        <v/>
      </c>
      <c r="AE37" s="39">
        <f>IF(AE36=0,0,AE31/AE36)</f>
        <v/>
      </c>
      <c r="AF37" s="39">
        <f>IF(AF36=0,0,AF31/AF36)</f>
        <v/>
      </c>
      <c r="AG37" s="39">
        <f>IF(AG36=0,0,AG31/AG36)</f>
        <v/>
      </c>
      <c r="AH37" s="39">
        <f>IF(AH36=0,0,AH31/AH36)</f>
        <v/>
      </c>
      <c r="AI37" s="39">
        <f>IF(AI36=0,0,AI31/AI36)</f>
        <v/>
      </c>
      <c r="AJ37" s="39">
        <f>IF(AJ36=0,0,AJ31/AJ36)</f>
        <v/>
      </c>
      <c r="AK37" s="39">
        <f>IF(AK36=0,0,AK31/AK36)</f>
        <v/>
      </c>
      <c r="AL37" s="39">
        <f>IF(AL36=0,0,AL31/AL36)</f>
        <v/>
      </c>
      <c r="AM37" s="39">
        <f>IF(AM36=0,0,AM31/AM36)</f>
        <v/>
      </c>
      <c r="AN37" s="39">
        <f>IF(AN36=0,0,AN31/AN36)</f>
        <v/>
      </c>
      <c r="AO37" s="39">
        <f>IF(AO36=0,0,AO31/AO36)</f>
        <v/>
      </c>
      <c r="AP37" s="39">
        <f>IF(AP36=0,0,AP31/AP36)</f>
        <v/>
      </c>
      <c r="AQ37" s="39">
        <f>IF(AQ36=0,0,AQ31/AQ36)</f>
        <v/>
      </c>
      <c r="AR37" s="39">
        <f>IF(AR36=0,0,AR31/AR36)</f>
        <v/>
      </c>
      <c r="AS37" s="39">
        <f>IF(AS36=0,0,AS31/AS36)</f>
        <v/>
      </c>
      <c r="AT37" s="39">
        <f>IF(AT36=0,0,AT31/AT36)</f>
        <v/>
      </c>
      <c r="AU37" s="39">
        <f>IF(AU36=0,0,AU31/AU36)</f>
        <v/>
      </c>
      <c r="AV37" s="39">
        <f>IF(AV36=0,0,AV31/AV36)</f>
        <v/>
      </c>
      <c r="AW37" s="39">
        <f>IF(AW36=0,0,AW31/AW36)</f>
        <v/>
      </c>
      <c r="AX37" s="39">
        <f>IF(AX36=0,0,AX31/AX36)</f>
        <v/>
      </c>
      <c r="AY37" s="39">
        <f>IF(AY36=0,0,AY31/AY36)</f>
        <v/>
      </c>
      <c r="AZ37" s="39">
        <f>IF(AZ36=0,0,AZ31/AZ36)</f>
        <v/>
      </c>
      <c r="BA37" s="39">
        <f>IF(BA36=0,0,BA31/BA36)</f>
        <v/>
      </c>
      <c r="BB37" s="39">
        <f>IF(BB36=0,0,BB31/BB36)</f>
        <v/>
      </c>
      <c r="BC37" s="39">
        <f>IF(BC36=0,0,BC31/BC36)</f>
        <v/>
      </c>
      <c r="BD37" s="39">
        <f>IF(BD36=0,0,BD31/BD36)</f>
        <v/>
      </c>
      <c r="BE37" s="39">
        <f>IF(BE36=0,0,BE31/BE36)</f>
        <v/>
      </c>
      <c r="BF37" s="39">
        <f>IF(BF36=0,0,BF31/BF36)</f>
        <v/>
      </c>
      <c r="BG37" s="39">
        <f>IF(BG36=0,0,BG31/BG36)</f>
        <v/>
      </c>
      <c r="BH37" s="41">
        <f>IF(BH36=0,0,BH31/BH36)</f>
        <v/>
      </c>
      <c r="BI37" s="41">
        <f>IF(BI36=0,0,BI31/BI36)</f>
        <v/>
      </c>
      <c r="BJ37" s="41">
        <f>IF(BJ36=0,0,BJ31/BJ36)</f>
        <v/>
      </c>
      <c r="BK37" s="41">
        <f>IF(BK36=0,0,BK31/BK36)</f>
        <v/>
      </c>
      <c r="BL37" s="41">
        <f>IF(BL36=0,0,BL31/BL36)</f>
        <v/>
      </c>
      <c r="BM37" s="41">
        <f>IF(BM36=0,0,BM31/BM36)</f>
        <v/>
      </c>
      <c r="BN37" s="41">
        <f>IF(BN36=0,0,BN31/BN36)</f>
        <v/>
      </c>
      <c r="BO37" s="41">
        <f>IF(BO36=0,0,BO31/BO36)</f>
        <v/>
      </c>
      <c r="BP37" s="41">
        <f>IF(BP36=0,0,BP31/BP36)</f>
        <v/>
      </c>
      <c r="BQ37" s="41">
        <f>IF(BQ36=0,0,BQ31/BQ36)</f>
        <v/>
      </c>
      <c r="BR37" s="30" t="inlineStr">
        <is>
          <t>光学收入占比。Q2'26约31%；预测2028升至~50%+，是估值核心变量。</t>
        </is>
      </c>
    </row>
    <row r="38">
      <c r="A38" s="4" t="inlineStr">
        <is>
          <t>Mix</t>
        </is>
      </c>
      <c r="B38" s="7" t="inlineStr">
        <is>
          <t>DSP % of optical</t>
        </is>
      </c>
      <c r="C38" s="4" t="inlineStr">
        <is>
          <t>%</t>
        </is>
      </c>
      <c r="D38" s="39">
        <f>IF(D31=0,0,D16/D31)</f>
        <v/>
      </c>
      <c r="E38" s="39">
        <f>IF(E31=0,0,E16/E31)</f>
        <v/>
      </c>
      <c r="F38" s="39">
        <f>IF(F31=0,0,F16/F31)</f>
        <v/>
      </c>
      <c r="G38" s="39">
        <f>IF(G31=0,0,G16/G31)</f>
        <v/>
      </c>
      <c r="H38" s="39">
        <f>IF(H31=0,0,H16/H31)</f>
        <v/>
      </c>
      <c r="I38" s="39">
        <f>IF(I31=0,0,I16/I31)</f>
        <v/>
      </c>
      <c r="J38" s="39">
        <f>IF(J31=0,0,J16/J31)</f>
        <v/>
      </c>
      <c r="K38" s="39">
        <f>IF(K31=0,0,K16/K31)</f>
        <v/>
      </c>
      <c r="L38" s="39">
        <f>IF(L31=0,0,L16/L31)</f>
        <v/>
      </c>
      <c r="M38" s="39">
        <f>IF(M31=0,0,M16/M31)</f>
        <v/>
      </c>
      <c r="N38" s="40">
        <f>IF(N31=0,0,N16/N31)</f>
        <v/>
      </c>
      <c r="O38" s="41">
        <f>IF(O31=0,0,O16/O31)</f>
        <v/>
      </c>
      <c r="P38" s="41">
        <f>IF(P31=0,0,P16/P31)</f>
        <v/>
      </c>
      <c r="R38" s="39">
        <f>IF(R31=0,0,R16/R31)</f>
        <v/>
      </c>
      <c r="S38" s="39">
        <f>IF(S31=0,0,S16/S31)</f>
        <v/>
      </c>
      <c r="T38" s="39">
        <f>IF(T31=0,0,T16/T31)</f>
        <v/>
      </c>
      <c r="U38" s="39">
        <f>IF(U31=0,0,U16/U31)</f>
        <v/>
      </c>
      <c r="V38" s="39">
        <f>IF(V31=0,0,V16/V31)</f>
        <v/>
      </c>
      <c r="W38" s="39">
        <f>IF(W31=0,0,W16/W31)</f>
        <v/>
      </c>
      <c r="X38" s="39">
        <f>IF(X31=0,0,X16/X31)</f>
        <v/>
      </c>
      <c r="Y38" s="39">
        <f>IF(Y31=0,0,Y16/Y31)</f>
        <v/>
      </c>
      <c r="Z38" s="39">
        <f>IF(Z31=0,0,Z16/Z31)</f>
        <v/>
      </c>
      <c r="AA38" s="39">
        <f>IF(AA31=0,0,AA16/AA31)</f>
        <v/>
      </c>
      <c r="AB38" s="39">
        <f>IF(AB31=0,0,AB16/AB31)</f>
        <v/>
      </c>
      <c r="AC38" s="39">
        <f>IF(AC31=0,0,AC16/AC31)</f>
        <v/>
      </c>
      <c r="AD38" s="39">
        <f>IF(AD31=0,0,AD16/AD31)</f>
        <v/>
      </c>
      <c r="AE38" s="39">
        <f>IF(AE31=0,0,AE16/AE31)</f>
        <v/>
      </c>
      <c r="AF38" s="39">
        <f>IF(AF31=0,0,AF16/AF31)</f>
        <v/>
      </c>
      <c r="AG38" s="39">
        <f>IF(AG31=0,0,AG16/AG31)</f>
        <v/>
      </c>
      <c r="AH38" s="39">
        <f>IF(AH31=0,0,AH16/AH31)</f>
        <v/>
      </c>
      <c r="AI38" s="39">
        <f>IF(AI31=0,0,AI16/AI31)</f>
        <v/>
      </c>
      <c r="AJ38" s="39">
        <f>IF(AJ31=0,0,AJ16/AJ31)</f>
        <v/>
      </c>
      <c r="AK38" s="39">
        <f>IF(AK31=0,0,AK16/AK31)</f>
        <v/>
      </c>
      <c r="AL38" s="39">
        <f>IF(AL31=0,0,AL16/AL31)</f>
        <v/>
      </c>
      <c r="AM38" s="39">
        <f>IF(AM31=0,0,AM16/AM31)</f>
        <v/>
      </c>
      <c r="AN38" s="39">
        <f>IF(AN31=0,0,AN16/AN31)</f>
        <v/>
      </c>
      <c r="AO38" s="39">
        <f>IF(AO31=0,0,AO16/AO31)</f>
        <v/>
      </c>
      <c r="AP38" s="39">
        <f>IF(AP31=0,0,AP16/AP31)</f>
        <v/>
      </c>
      <c r="AQ38" s="39">
        <f>IF(AQ31=0,0,AQ16/AQ31)</f>
        <v/>
      </c>
      <c r="AR38" s="39">
        <f>IF(AR31=0,0,AR16/AR31)</f>
        <v/>
      </c>
      <c r="AS38" s="39">
        <f>IF(AS31=0,0,AS16/AS31)</f>
        <v/>
      </c>
      <c r="AT38" s="39">
        <f>IF(AT31=0,0,AT16/AT31)</f>
        <v/>
      </c>
      <c r="AU38" s="39">
        <f>IF(AU31=0,0,AU16/AU31)</f>
        <v/>
      </c>
      <c r="AV38" s="39">
        <f>IF(AV31=0,0,AV16/AV31)</f>
        <v/>
      </c>
      <c r="AW38" s="39">
        <f>IF(AW31=0,0,AW16/AW31)</f>
        <v/>
      </c>
      <c r="AX38" s="39">
        <f>IF(AX31=0,0,AX16/AX31)</f>
        <v/>
      </c>
      <c r="AY38" s="39">
        <f>IF(AY31=0,0,AY16/AY31)</f>
        <v/>
      </c>
      <c r="AZ38" s="39">
        <f>IF(AZ31=0,0,AZ16/AZ31)</f>
        <v/>
      </c>
      <c r="BA38" s="39">
        <f>IF(BA31=0,0,BA16/BA31)</f>
        <v/>
      </c>
      <c r="BB38" s="39">
        <f>IF(BB31=0,0,BB16/BB31)</f>
        <v/>
      </c>
      <c r="BC38" s="39">
        <f>IF(BC31=0,0,BC16/BC31)</f>
        <v/>
      </c>
      <c r="BD38" s="39">
        <f>IF(BD31=0,0,BD16/BD31)</f>
        <v/>
      </c>
      <c r="BE38" s="39">
        <f>IF(BE31=0,0,BE16/BE31)</f>
        <v/>
      </c>
      <c r="BF38" s="39">
        <f>IF(BF31=0,0,BF16/BF31)</f>
        <v/>
      </c>
      <c r="BG38" s="39">
        <f>IF(BG31=0,0,BG16/BG31)</f>
        <v/>
      </c>
      <c r="BH38" s="41">
        <f>IF(BH31=0,0,BH16/BH31)</f>
        <v/>
      </c>
      <c r="BI38" s="41">
        <f>IF(BI31=0,0,BI16/BI31)</f>
        <v/>
      </c>
      <c r="BJ38" s="41">
        <f>IF(BJ31=0,0,BJ16/BJ31)</f>
        <v/>
      </c>
      <c r="BK38" s="41">
        <f>IF(BK31=0,0,BK16/BK31)</f>
        <v/>
      </c>
      <c r="BL38" s="41">
        <f>IF(BL31=0,0,BL16/BL31)</f>
        <v/>
      </c>
      <c r="BM38" s="41">
        <f>IF(BM31=0,0,BM16/BM31)</f>
        <v/>
      </c>
      <c r="BN38" s="41">
        <f>IF(BN31=0,0,BN16/BN31)</f>
        <v/>
      </c>
      <c r="BO38" s="41">
        <f>IF(BO31=0,0,BO16/BO31)</f>
        <v/>
      </c>
      <c r="BP38" s="41">
        <f>IF(BP31=0,0,BP16/BP31)</f>
        <v/>
      </c>
      <c r="BQ38" s="41">
        <f>IF(BQ31=0,0,BQ16/BQ31)</f>
        <v/>
      </c>
      <c r="BR38" s="30" t="inlineStr">
        <is>
          <t>光学中DSP占比。2026~80%，此后随TIA/Driver attach下降。</t>
        </is>
      </c>
    </row>
    <row r="40">
      <c r="A40" s="25" t="inlineStr">
        <is>
          <t>II.  MARGIN / P&amp;L / BALANCE SHEET ASSUMPTIONS  （蓝色=可调假设）</t>
        </is>
      </c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</row>
    <row r="41">
      <c r="A41" s="4" t="inlineStr">
        <is>
          <t>P&amp;L</t>
        </is>
      </c>
      <c r="B41" s="7" t="inlineStr">
        <is>
          <t>Company gross margin (implied)</t>
        </is>
      </c>
      <c r="C41" s="4" t="inlineStr">
        <is>
          <t>%</t>
        </is>
      </c>
      <c r="D41" s="39">
        <f>D64</f>
        <v/>
      </c>
      <c r="E41" s="39">
        <f>E64</f>
        <v/>
      </c>
      <c r="F41" s="39">
        <f>F64</f>
        <v/>
      </c>
      <c r="G41" s="39">
        <f>G64</f>
        <v/>
      </c>
      <c r="H41" s="39">
        <f>H64</f>
        <v/>
      </c>
      <c r="I41" s="39">
        <f>I64</f>
        <v/>
      </c>
      <c r="J41" s="39">
        <f>J64</f>
        <v/>
      </c>
      <c r="K41" s="39">
        <f>K64</f>
        <v/>
      </c>
      <c r="L41" s="39">
        <f>L64</f>
        <v/>
      </c>
      <c r="M41" s="39">
        <f>M64</f>
        <v/>
      </c>
      <c r="N41" s="40">
        <f>N64</f>
        <v/>
      </c>
      <c r="O41" s="41">
        <f>O64</f>
        <v/>
      </c>
      <c r="P41" s="41">
        <f>P64</f>
        <v/>
      </c>
      <c r="R41" s="39">
        <f>R64</f>
        <v/>
      </c>
      <c r="S41" s="39">
        <f>S64</f>
        <v/>
      </c>
      <c r="T41" s="39">
        <f>T64</f>
        <v/>
      </c>
      <c r="U41" s="39">
        <f>U64</f>
        <v/>
      </c>
      <c r="V41" s="39">
        <f>V64</f>
        <v/>
      </c>
      <c r="W41" s="39">
        <f>W64</f>
        <v/>
      </c>
      <c r="X41" s="39">
        <f>X64</f>
        <v/>
      </c>
      <c r="Y41" s="39">
        <f>Y64</f>
        <v/>
      </c>
      <c r="Z41" s="39">
        <f>Z64</f>
        <v/>
      </c>
      <c r="AA41" s="39">
        <f>AA64</f>
        <v/>
      </c>
      <c r="AB41" s="39">
        <f>AB64</f>
        <v/>
      </c>
      <c r="AC41" s="39">
        <f>AC64</f>
        <v/>
      </c>
      <c r="AD41" s="39">
        <f>AD64</f>
        <v/>
      </c>
      <c r="AE41" s="39">
        <f>AE64</f>
        <v/>
      </c>
      <c r="AF41" s="39">
        <f>AF64</f>
        <v/>
      </c>
      <c r="AG41" s="39">
        <f>AG64</f>
        <v/>
      </c>
      <c r="AH41" s="39">
        <f>AH64</f>
        <v/>
      </c>
      <c r="AI41" s="39">
        <f>AI64</f>
        <v/>
      </c>
      <c r="AJ41" s="39">
        <f>AJ64</f>
        <v/>
      </c>
      <c r="AK41" s="39">
        <f>AK64</f>
        <v/>
      </c>
      <c r="AL41" s="39">
        <f>AL64</f>
        <v/>
      </c>
      <c r="AM41" s="39">
        <f>AM64</f>
        <v/>
      </c>
      <c r="AN41" s="39">
        <f>AN64</f>
        <v/>
      </c>
      <c r="AO41" s="39">
        <f>AO64</f>
        <v/>
      </c>
      <c r="AP41" s="39">
        <f>AP64</f>
        <v/>
      </c>
      <c r="AQ41" s="39">
        <f>AQ64</f>
        <v/>
      </c>
      <c r="AR41" s="39">
        <f>AR64</f>
        <v/>
      </c>
      <c r="AS41" s="39">
        <f>AS64</f>
        <v/>
      </c>
      <c r="AT41" s="39">
        <f>AT64</f>
        <v/>
      </c>
      <c r="AU41" s="39">
        <f>AU64</f>
        <v/>
      </c>
      <c r="AV41" s="39">
        <f>AV64</f>
        <v/>
      </c>
      <c r="AW41" s="39">
        <f>AW64</f>
        <v/>
      </c>
      <c r="AX41" s="39">
        <f>AX64</f>
        <v/>
      </c>
      <c r="AY41" s="39">
        <f>AY64</f>
        <v/>
      </c>
      <c r="AZ41" s="39">
        <f>AZ64</f>
        <v/>
      </c>
      <c r="BA41" s="39">
        <f>BA64</f>
        <v/>
      </c>
      <c r="BB41" s="39">
        <f>BB64</f>
        <v/>
      </c>
      <c r="BC41" s="39">
        <f>BC64</f>
        <v/>
      </c>
      <c r="BD41" s="39">
        <f>BD64</f>
        <v/>
      </c>
      <c r="BE41" s="39">
        <f>BE64</f>
        <v/>
      </c>
      <c r="BF41" s="39">
        <f>BF64</f>
        <v/>
      </c>
      <c r="BG41" s="39">
        <f>BG64</f>
        <v/>
      </c>
      <c r="BH41" s="41">
        <f>BH64</f>
        <v/>
      </c>
      <c r="BI41" s="41">
        <f>BI64</f>
        <v/>
      </c>
      <c r="BJ41" s="41">
        <f>BJ64</f>
        <v/>
      </c>
      <c r="BK41" s="41">
        <f>BK64</f>
        <v/>
      </c>
      <c r="BL41" s="41">
        <f>BL64</f>
        <v/>
      </c>
      <c r="BM41" s="41">
        <f>BM64</f>
        <v/>
      </c>
      <c r="BN41" s="41">
        <f>BN64</f>
        <v/>
      </c>
      <c r="BO41" s="41">
        <f>BO64</f>
        <v/>
      </c>
      <c r="BP41" s="41">
        <f>BP64</f>
        <v/>
      </c>
      <c r="BQ41" s="41">
        <f>BQ64</f>
        <v/>
      </c>
      <c r="BR41" s="30" t="inlineStr">
        <is>
          <t>历史=GP/Rev；预测由DSP/TIA/Driver单颗COGS + 非光学毛利率加权得出。Q2'26 GAAP GM 57.8%；Q3指引57–60%。</t>
        </is>
      </c>
    </row>
    <row r="42">
      <c r="A42" s="4" t="inlineStr">
        <is>
          <t>P&amp;L</t>
        </is>
      </c>
      <c r="B42" s="7" t="inlineStr">
        <is>
          <t>Non-optical blended gross margin</t>
        </is>
      </c>
      <c r="C42" s="4" t="inlineStr">
        <is>
          <t>%</t>
        </is>
      </c>
      <c r="D42" s="39">
        <f>IF(D61-D31=0,0,(D63-(D16-D18+D23-D25+D28-D30))/MAX(D61-D31,1))</f>
        <v/>
      </c>
      <c r="E42" s="39">
        <f>IF(E61-E31=0,0,(E63-(E16-E18+E23-E25+E28-E30))/MAX(E61-E31,1))</f>
        <v/>
      </c>
      <c r="F42" s="39">
        <f>IF(F61-F31=0,0,(F63-(F16-F18+F23-F25+F28-F30))/MAX(F61-F31,1))</f>
        <v/>
      </c>
      <c r="G42" s="39">
        <f>IF(G61-G31=0,0,(G63-(G16-G18+G23-G25+G28-G30))/MAX(G61-G31,1))</f>
        <v/>
      </c>
      <c r="H42" s="39">
        <f>IF(H61-H31=0,0,(H63-(H16-H18+H23-H25+H28-H30))/MAX(H61-H31,1))</f>
        <v/>
      </c>
      <c r="I42" s="39">
        <f>IF(I61-I31=0,0,(I63-(I16-I18+I23-I25+I28-I30))/MAX(I61-I31,1))</f>
        <v/>
      </c>
      <c r="J42" s="39">
        <f>IF(J61-J31=0,0,(J63-(J16-J18+J23-J25+J28-J30))/MAX(J61-J31,1))</f>
        <v/>
      </c>
      <c r="K42" s="39">
        <f>IF(K61-K31=0,0,(K63-(K16-K18+K23-K25+K28-K30))/MAX(K61-K31,1))</f>
        <v/>
      </c>
      <c r="L42" s="39">
        <f>IF(L61-L31=0,0,(L63-(L16-L18+L23-L25+L28-L30))/MAX(L61-L31,1))</f>
        <v/>
      </c>
      <c r="M42" s="39">
        <f>IF(M61-M31=0,0,(M63-(M16-M18+M23-M25+M28-M30))/MAX(M61-M31,1))</f>
        <v/>
      </c>
      <c r="N42" s="40">
        <f>IF(N61-N31=0,0,(N63-(N16-N18+N23-N25+N28-N30))/MAX(N61-N31,1))</f>
        <v/>
      </c>
      <c r="O42" s="41">
        <f>IF(O61-O31=0,0,(O63-(O16-O18+O23-O25+O28-O30))/MAX(O61-O31,1))</f>
        <v/>
      </c>
      <c r="P42" s="41">
        <f>IF(P61-P31=0,0,(P63-(P16-P18+P23-P25+P28-P30))/MAX(P61-P31,1))</f>
        <v/>
      </c>
      <c r="R42" s="39">
        <f>IF(R61-R31=0,0,(R63-(R16-R18+R23-R25+R28-R30))/MAX(R61-R31,1))</f>
        <v/>
      </c>
      <c r="S42" s="39">
        <f>IF(S61-S31=0,0,(S63-(S16-S18+S23-S25+S28-S30))/MAX(S61-S31,1))</f>
        <v/>
      </c>
      <c r="T42" s="39">
        <f>IF(T61-T31=0,0,(T63-(T16-T18+T23-T25+T28-T30))/MAX(T61-T31,1))</f>
        <v/>
      </c>
      <c r="U42" s="39">
        <f>IF(U61-U31=0,0,(U63-(U16-U18+U23-U25+U28-U30))/MAX(U61-U31,1))</f>
        <v/>
      </c>
      <c r="V42" s="39">
        <f>IF(V61-V31=0,0,(V63-(V16-V18+V23-V25+V28-V30))/MAX(V61-V31,1))</f>
        <v/>
      </c>
      <c r="W42" s="39">
        <f>IF(W61-W31=0,0,(W63-(W16-W18+W23-W25+W28-W30))/MAX(W61-W31,1))</f>
        <v/>
      </c>
      <c r="X42" s="39">
        <f>IF(X61-X31=0,0,(X63-(X16-X18+X23-X25+X28-X30))/MAX(X61-X31,1))</f>
        <v/>
      </c>
      <c r="Y42" s="39">
        <f>IF(Y61-Y31=0,0,(Y63-(Y16-Y18+Y23-Y25+Y28-Y30))/MAX(Y61-Y31,1))</f>
        <v/>
      </c>
      <c r="Z42" s="39">
        <f>IF(Z61-Z31=0,0,(Z63-(Z16-Z18+Z23-Z25+Z28-Z30))/MAX(Z61-Z31,1))</f>
        <v/>
      </c>
      <c r="AA42" s="39">
        <f>IF(AA61-AA31=0,0,(AA63-(AA16-AA18+AA23-AA25+AA28-AA30))/MAX(AA61-AA31,1))</f>
        <v/>
      </c>
      <c r="AB42" s="39">
        <f>IF(AB61-AB31=0,0,(AB63-(AB16-AB18+AB23-AB25+AB28-AB30))/MAX(AB61-AB31,1))</f>
        <v/>
      </c>
      <c r="AC42" s="39">
        <f>IF(AC61-AC31=0,0,(AC63-(AC16-AC18+AC23-AC25+AC28-AC30))/MAX(AC61-AC31,1))</f>
        <v/>
      </c>
      <c r="AD42" s="39">
        <f>IF(AD61-AD31=0,0,(AD63-(AD16-AD18+AD23-AD25+AD28-AD30))/MAX(AD61-AD31,1))</f>
        <v/>
      </c>
      <c r="AE42" s="39">
        <f>IF(AE61-AE31=0,0,(AE63-(AE16-AE18+AE23-AE25+AE28-AE30))/MAX(AE61-AE31,1))</f>
        <v/>
      </c>
      <c r="AF42" s="39">
        <f>IF(AF61-AF31=0,0,(AF63-(AF16-AF18+AF23-AF25+AF28-AF30))/MAX(AF61-AF31,1))</f>
        <v/>
      </c>
      <c r="AG42" s="39">
        <f>IF(AG61-AG31=0,0,(AG63-(AG16-AG18+AG23-AG25+AG28-AG30))/MAX(AG61-AG31,1))</f>
        <v/>
      </c>
      <c r="AH42" s="39">
        <f>IF(AH61-AH31=0,0,(AH63-(AH16-AH18+AH23-AH25+AH28-AH30))/MAX(AH61-AH31,1))</f>
        <v/>
      </c>
      <c r="AI42" s="39">
        <f>IF(AI61-AI31=0,0,(AI63-(AI16-AI18+AI23-AI25+AI28-AI30))/MAX(AI61-AI31,1))</f>
        <v/>
      </c>
      <c r="AJ42" s="39">
        <f>IF(AJ61-AJ31=0,0,(AJ63-(AJ16-AJ18+AJ23-AJ25+AJ28-AJ30))/MAX(AJ61-AJ31,1))</f>
        <v/>
      </c>
      <c r="AK42" s="39">
        <f>IF(AK61-AK31=0,0,(AK63-(AK16-AK18+AK23-AK25+AK28-AK30))/MAX(AK61-AK31,1))</f>
        <v/>
      </c>
      <c r="AL42" s="39">
        <f>IF(AL61-AL31=0,0,(AL63-(AL16-AL18+AL23-AL25+AL28-AL30))/MAX(AL61-AL31,1))</f>
        <v/>
      </c>
      <c r="AM42" s="39">
        <f>IF(AM61-AM31=0,0,(AM63-(AM16-AM18+AM23-AM25+AM28-AM30))/MAX(AM61-AM31,1))</f>
        <v/>
      </c>
      <c r="AN42" s="39">
        <f>IF(AN61-AN31=0,0,(AN63-(AN16-AN18+AN23-AN25+AN28-AN30))/MAX(AN61-AN31,1))</f>
        <v/>
      </c>
      <c r="AO42" s="39">
        <f>IF(AO61-AO31=0,0,(AO63-(AO16-AO18+AO23-AO25+AO28-AO30))/MAX(AO61-AO31,1))</f>
        <v/>
      </c>
      <c r="AP42" s="39">
        <f>IF(AP61-AP31=0,0,(AP63-(AP16-AP18+AP23-AP25+AP28-AP30))/MAX(AP61-AP31,1))</f>
        <v/>
      </c>
      <c r="AQ42" s="39">
        <f>IF(AQ61-AQ31=0,0,(AQ63-(AQ16-AQ18+AQ23-AQ25+AQ28-AQ30))/MAX(AQ61-AQ31,1))</f>
        <v/>
      </c>
      <c r="AR42" s="39">
        <f>IF(AR61-AR31=0,0,(AR63-(AR16-AR18+AR23-AR25+AR28-AR30))/MAX(AR61-AR31,1))</f>
        <v/>
      </c>
      <c r="AS42" s="39">
        <f>IF(AS61-AS31=0,0,(AS63-(AS16-AS18+AS23-AS25+AS28-AS30))/MAX(AS61-AS31,1))</f>
        <v/>
      </c>
      <c r="AT42" s="39">
        <f>IF(AT61-AT31=0,0,(AT63-(AT16-AT18+AT23-AT25+AT28-AT30))/MAX(AT61-AT31,1))</f>
        <v/>
      </c>
      <c r="AU42" s="39">
        <f>IF(AU61-AU31=0,0,(AU63-(AU16-AU18+AU23-AU25+AU28-AU30))/MAX(AU61-AU31,1))</f>
        <v/>
      </c>
      <c r="AV42" s="39">
        <f>IF(AV61-AV31=0,0,(AV63-(AV16-AV18+AV23-AV25+AV28-AV30))/MAX(AV61-AV31,1))</f>
        <v/>
      </c>
      <c r="AW42" s="39">
        <f>IF(AW61-AW31=0,0,(AW63-(AW16-AW18+AW23-AW25+AW28-AW30))/MAX(AW61-AW31,1))</f>
        <v/>
      </c>
      <c r="AX42" s="39">
        <f>IF(AX61-AX31=0,0,(AX63-(AX16-AX18+AX23-AX25+AX28-AX30))/MAX(AX61-AX31,1))</f>
        <v/>
      </c>
      <c r="AY42" s="39">
        <f>IF(AY61-AY31=0,0,(AY63-(AY16-AY18+AY23-AY25+AY28-AY30))/MAX(AY61-AY31,1))</f>
        <v/>
      </c>
      <c r="AZ42" s="39">
        <f>IF(AZ61-AZ31=0,0,(AZ63-(AZ16-AZ18+AZ23-AZ25+AZ28-AZ30))/MAX(AZ61-AZ31,1))</f>
        <v/>
      </c>
      <c r="BA42" s="39">
        <f>IF(BA61-BA31=0,0,(BA63-(BA16-BA18+BA23-BA25+BA28-BA30))/MAX(BA61-BA31,1))</f>
        <v/>
      </c>
      <c r="BB42" s="39">
        <f>IF(BB61-BB31=0,0,(BB63-(BB16-BB18+BB23-BB25+BB28-BB30))/MAX(BB61-BB31,1))</f>
        <v/>
      </c>
      <c r="BC42" s="39">
        <f>IF(BC61-BC31=0,0,(BC63-(BC16-BC18+BC23-BC25+BC28-BC30))/MAX(BC61-BC31,1))</f>
        <v/>
      </c>
      <c r="BD42" s="39">
        <f>IF(BD61-BD31=0,0,(BD63-(BD16-BD18+BD23-BD25+BD28-BD30))/MAX(BD61-BD31,1))</f>
        <v/>
      </c>
      <c r="BE42" s="39">
        <f>IF(BE61-BE31=0,0,(BE63-(BE16-BE18+BE23-BE25+BE28-BE30))/MAX(BE61-BE31,1))</f>
        <v/>
      </c>
      <c r="BF42" s="39">
        <f>IF(BF61-BF31=0,0,(BF63-(BF16-BF18+BF23-BF25+BF28-BF30))/MAX(BF61-BF31,1))</f>
        <v/>
      </c>
      <c r="BG42" s="39">
        <f>IF(BG61-BG31=0,0,(BG63-(BG16-BG18+BG23-BG25+BG28-BG30))/MAX(BG61-BG31,1))</f>
        <v/>
      </c>
      <c r="BH42" s="44" t="n">
        <v>0.575</v>
      </c>
      <c r="BI42" s="44" t="n">
        <v>0.576</v>
      </c>
      <c r="BJ42" s="44" t="n">
        <v>0.578</v>
      </c>
      <c r="BK42" s="44" t="n">
        <v>0.58</v>
      </c>
      <c r="BL42" s="44" t="n">
        <v>0.582</v>
      </c>
      <c r="BM42" s="44" t="n">
        <v>0.584</v>
      </c>
      <c r="BN42" s="44" t="n">
        <v>0.585</v>
      </c>
      <c r="BO42" s="44" t="n">
        <v>0.586</v>
      </c>
      <c r="BP42" s="44" t="n">
        <v>0.587</v>
      </c>
      <c r="BQ42" s="44" t="n">
        <v>0.588</v>
      </c>
      <c r="BR42" s="30" t="inlineStr">
        <is>
          <t>宽带/连接/工业/其他基础设施综合毛利率。历史反推；预测57.5–58.8%。光学mix提升后公司GM向59%靠近。</t>
        </is>
      </c>
    </row>
    <row r="43">
      <c r="A43" s="4" t="inlineStr">
        <is>
          <t>P&amp;L</t>
        </is>
      </c>
      <c r="B43" s="7" t="inlineStr">
        <is>
          <t>SG&amp;A</t>
        </is>
      </c>
      <c r="C43" s="4" t="inlineStr">
        <is>
          <t>$000</t>
        </is>
      </c>
      <c r="D43" s="38">
        <f>D66</f>
        <v/>
      </c>
      <c r="E43" s="38">
        <f>E66</f>
        <v/>
      </c>
      <c r="F43" s="38">
        <f>F66</f>
        <v/>
      </c>
      <c r="G43" s="38">
        <f>G66</f>
        <v/>
      </c>
      <c r="H43" s="38">
        <f>H66</f>
        <v/>
      </c>
      <c r="I43" s="38">
        <f>I66</f>
        <v/>
      </c>
      <c r="J43" s="38">
        <f>J66</f>
        <v/>
      </c>
      <c r="K43" s="38">
        <f>K66</f>
        <v/>
      </c>
      <c r="L43" s="38">
        <f>L66</f>
        <v/>
      </c>
      <c r="M43" s="38">
        <f>M66</f>
        <v/>
      </c>
      <c r="N43" s="36">
        <f>BF43+BG43+BH43+BI43</f>
        <v/>
      </c>
      <c r="O43" s="37">
        <f>BJ43+BK43+BL43+BM43</f>
        <v/>
      </c>
      <c r="P43" s="37">
        <f>BN43+BO43+BP43+BQ43</f>
        <v/>
      </c>
      <c r="R43" s="38">
        <f>R66</f>
        <v/>
      </c>
      <c r="S43" s="38">
        <f>S66</f>
        <v/>
      </c>
      <c r="T43" s="38">
        <f>T66</f>
        <v/>
      </c>
      <c r="U43" s="38">
        <f>U66</f>
        <v/>
      </c>
      <c r="V43" s="38">
        <f>V66</f>
        <v/>
      </c>
      <c r="W43" s="38">
        <f>W66</f>
        <v/>
      </c>
      <c r="X43" s="38">
        <f>X66</f>
        <v/>
      </c>
      <c r="Y43" s="38">
        <f>Y66</f>
        <v/>
      </c>
      <c r="Z43" s="38">
        <f>Z66</f>
        <v/>
      </c>
      <c r="AA43" s="38">
        <f>AA66</f>
        <v/>
      </c>
      <c r="AB43" s="38">
        <f>AB66</f>
        <v/>
      </c>
      <c r="AC43" s="38">
        <f>AC66</f>
        <v/>
      </c>
      <c r="AD43" s="38">
        <f>AD66</f>
        <v/>
      </c>
      <c r="AE43" s="38">
        <f>AE66</f>
        <v/>
      </c>
      <c r="AF43" s="38">
        <f>AF66</f>
        <v/>
      </c>
      <c r="AG43" s="38">
        <f>AG66</f>
        <v/>
      </c>
      <c r="AH43" s="38">
        <f>AH66</f>
        <v/>
      </c>
      <c r="AI43" s="38">
        <f>AI66</f>
        <v/>
      </c>
      <c r="AJ43" s="38">
        <f>AJ66</f>
        <v/>
      </c>
      <c r="AK43" s="38">
        <f>AK66</f>
        <v/>
      </c>
      <c r="AL43" s="38">
        <f>AL66</f>
        <v/>
      </c>
      <c r="AM43" s="38">
        <f>AM66</f>
        <v/>
      </c>
      <c r="AN43" s="38">
        <f>AN66</f>
        <v/>
      </c>
      <c r="AO43" s="38">
        <f>AO66</f>
        <v/>
      </c>
      <c r="AP43" s="38">
        <f>AP66</f>
        <v/>
      </c>
      <c r="AQ43" s="38">
        <f>AQ66</f>
        <v/>
      </c>
      <c r="AR43" s="38">
        <f>AR66</f>
        <v/>
      </c>
      <c r="AS43" s="38">
        <f>AS66</f>
        <v/>
      </c>
      <c r="AT43" s="38">
        <f>AT66</f>
        <v/>
      </c>
      <c r="AU43" s="38">
        <f>AU66</f>
        <v/>
      </c>
      <c r="AV43" s="38">
        <f>AV66</f>
        <v/>
      </c>
      <c r="AW43" s="38">
        <f>AW66</f>
        <v/>
      </c>
      <c r="AX43" s="38">
        <f>AX66</f>
        <v/>
      </c>
      <c r="AY43" s="38">
        <f>AY66</f>
        <v/>
      </c>
      <c r="AZ43" s="38">
        <f>AZ66</f>
        <v/>
      </c>
      <c r="BA43" s="38">
        <f>BA66</f>
        <v/>
      </c>
      <c r="BB43" s="38">
        <f>BB66</f>
        <v/>
      </c>
      <c r="BC43" s="38">
        <f>BC66</f>
        <v/>
      </c>
      <c r="BD43" s="38">
        <f>BD66</f>
        <v/>
      </c>
      <c r="BE43" s="38">
        <f>BE66</f>
        <v/>
      </c>
      <c r="BF43" s="38">
        <f>BF66</f>
        <v/>
      </c>
      <c r="BG43" s="38">
        <f>BG66</f>
        <v/>
      </c>
      <c r="BH43" s="43" t="n">
        <v>47000</v>
      </c>
      <c r="BI43" s="43" t="n">
        <v>48000</v>
      </c>
      <c r="BJ43" s="43" t="n">
        <v>49000</v>
      </c>
      <c r="BK43" s="43" t="n">
        <v>50000</v>
      </c>
      <c r="BL43" s="43" t="n">
        <v>51000</v>
      </c>
      <c r="BM43" s="43" t="n">
        <v>52000</v>
      </c>
      <c r="BN43" s="43" t="n">
        <v>53000</v>
      </c>
      <c r="BO43" s="43" t="n">
        <v>53500</v>
      </c>
      <c r="BP43" s="43" t="n">
        <v>54000</v>
      </c>
      <c r="BQ43" s="43" t="n">
        <v>54500</v>
      </c>
      <c r="BR43" s="30" t="inlineStr">
        <is>
          <t>历史硬编码；预测绝对额（半固定）。Q2'26 $45.8m；Q3 opex指引$98–104m（含R&amp;D/重组）。</t>
        </is>
      </c>
    </row>
    <row r="44">
      <c r="A44" s="4" t="inlineStr">
        <is>
          <t>P&amp;L</t>
        </is>
      </c>
      <c r="B44" s="7" t="inlineStr">
        <is>
          <t>R&amp;D</t>
        </is>
      </c>
      <c r="C44" s="4" t="inlineStr">
        <is>
          <t>$000</t>
        </is>
      </c>
      <c r="D44" s="38">
        <f>D65</f>
        <v/>
      </c>
      <c r="E44" s="38">
        <f>E65</f>
        <v/>
      </c>
      <c r="F44" s="38">
        <f>F65</f>
        <v/>
      </c>
      <c r="G44" s="38">
        <f>G65</f>
        <v/>
      </c>
      <c r="H44" s="38">
        <f>H65</f>
        <v/>
      </c>
      <c r="I44" s="38">
        <f>I65</f>
        <v/>
      </c>
      <c r="J44" s="38">
        <f>J65</f>
        <v/>
      </c>
      <c r="K44" s="38">
        <f>K65</f>
        <v/>
      </c>
      <c r="L44" s="38">
        <f>L65</f>
        <v/>
      </c>
      <c r="M44" s="38">
        <f>M65</f>
        <v/>
      </c>
      <c r="N44" s="36">
        <f>BF44+BG44+BH44+BI44</f>
        <v/>
      </c>
      <c r="O44" s="37">
        <f>BJ44+BK44+BL44+BM44</f>
        <v/>
      </c>
      <c r="P44" s="37">
        <f>BN44+BO44+BP44+BQ44</f>
        <v/>
      </c>
      <c r="R44" s="38">
        <f>R65</f>
        <v/>
      </c>
      <c r="S44" s="38">
        <f>S65</f>
        <v/>
      </c>
      <c r="T44" s="38">
        <f>T65</f>
        <v/>
      </c>
      <c r="U44" s="38">
        <f>U65</f>
        <v/>
      </c>
      <c r="V44" s="38">
        <f>V65</f>
        <v/>
      </c>
      <c r="W44" s="38">
        <f>W65</f>
        <v/>
      </c>
      <c r="X44" s="38">
        <f>X65</f>
        <v/>
      </c>
      <c r="Y44" s="38">
        <f>Y65</f>
        <v/>
      </c>
      <c r="Z44" s="38">
        <f>Z65</f>
        <v/>
      </c>
      <c r="AA44" s="38">
        <f>AA65</f>
        <v/>
      </c>
      <c r="AB44" s="38">
        <f>AB65</f>
        <v/>
      </c>
      <c r="AC44" s="38">
        <f>AC65</f>
        <v/>
      </c>
      <c r="AD44" s="38">
        <f>AD65</f>
        <v/>
      </c>
      <c r="AE44" s="38">
        <f>AE65</f>
        <v/>
      </c>
      <c r="AF44" s="38">
        <f>AF65</f>
        <v/>
      </c>
      <c r="AG44" s="38">
        <f>AG65</f>
        <v/>
      </c>
      <c r="AH44" s="38">
        <f>AH65</f>
        <v/>
      </c>
      <c r="AI44" s="38">
        <f>AI65</f>
        <v/>
      </c>
      <c r="AJ44" s="38">
        <f>AJ65</f>
        <v/>
      </c>
      <c r="AK44" s="38">
        <f>AK65</f>
        <v/>
      </c>
      <c r="AL44" s="38">
        <f>AL65</f>
        <v/>
      </c>
      <c r="AM44" s="38">
        <f>AM65</f>
        <v/>
      </c>
      <c r="AN44" s="38">
        <f>AN65</f>
        <v/>
      </c>
      <c r="AO44" s="38">
        <f>AO65</f>
        <v/>
      </c>
      <c r="AP44" s="38">
        <f>AP65</f>
        <v/>
      </c>
      <c r="AQ44" s="38">
        <f>AQ65</f>
        <v/>
      </c>
      <c r="AR44" s="38">
        <f>AR65</f>
        <v/>
      </c>
      <c r="AS44" s="38">
        <f>AS65</f>
        <v/>
      </c>
      <c r="AT44" s="38">
        <f>AT65</f>
        <v/>
      </c>
      <c r="AU44" s="38">
        <f>AU65</f>
        <v/>
      </c>
      <c r="AV44" s="38">
        <f>AV65</f>
        <v/>
      </c>
      <c r="AW44" s="38">
        <f>AW65</f>
        <v/>
      </c>
      <c r="AX44" s="38">
        <f>AX65</f>
        <v/>
      </c>
      <c r="AY44" s="38">
        <f>AY65</f>
        <v/>
      </c>
      <c r="AZ44" s="38">
        <f>AZ65</f>
        <v/>
      </c>
      <c r="BA44" s="38">
        <f>BA65</f>
        <v/>
      </c>
      <c r="BB44" s="38">
        <f>BB65</f>
        <v/>
      </c>
      <c r="BC44" s="38">
        <f>BC65</f>
        <v/>
      </c>
      <c r="BD44" s="38">
        <f>BD65</f>
        <v/>
      </c>
      <c r="BE44" s="38">
        <f>BE65</f>
        <v/>
      </c>
      <c r="BF44" s="38">
        <f>BF65</f>
        <v/>
      </c>
      <c r="BG44" s="38">
        <f>BG65</f>
        <v/>
      </c>
      <c r="BH44" s="43" t="n">
        <v>55500</v>
      </c>
      <c r="BI44" s="43" t="n">
        <v>56000</v>
      </c>
      <c r="BJ44" s="43" t="n">
        <v>57500</v>
      </c>
      <c r="BK44" s="43" t="n">
        <v>58500</v>
      </c>
      <c r="BL44" s="43" t="n">
        <v>59500</v>
      </c>
      <c r="BM44" s="43" t="n">
        <v>60500</v>
      </c>
      <c r="BN44" s="43" t="n">
        <v>61500</v>
      </c>
      <c r="BO44" s="43" t="n">
        <v>62500</v>
      </c>
      <c r="BP44" s="43" t="n">
        <v>63500</v>
      </c>
      <c r="BQ44" s="43" t="n">
        <v>64000</v>
      </c>
      <c r="BR44" s="30" t="inlineStr">
        <is>
          <t>历史硬编码（XBRL: R&amp;D excluding acquired IPR&amp;D）。光学平台（5nm Keystone / 1.6T Rushmore）维持高研发。预测$55–64m/季。</t>
        </is>
      </c>
    </row>
    <row r="45">
      <c r="A45" s="4" t="inlineStr">
        <is>
          <t>P&amp;L</t>
        </is>
      </c>
      <c r="B45" s="7" t="inlineStr">
        <is>
          <t>Restructuring / impairment</t>
        </is>
      </c>
      <c r="C45" s="4" t="inlineStr">
        <is>
          <t>$000</t>
        </is>
      </c>
      <c r="D45" s="38">
        <f>D67</f>
        <v/>
      </c>
      <c r="E45" s="38">
        <f>E67</f>
        <v/>
      </c>
      <c r="F45" s="38">
        <f>F67</f>
        <v/>
      </c>
      <c r="G45" s="38">
        <f>G67</f>
        <v/>
      </c>
      <c r="H45" s="38">
        <f>H67</f>
        <v/>
      </c>
      <c r="I45" s="38">
        <f>I67</f>
        <v/>
      </c>
      <c r="J45" s="38">
        <f>J67</f>
        <v/>
      </c>
      <c r="K45" s="38">
        <f>K67</f>
        <v/>
      </c>
      <c r="L45" s="38">
        <f>L67</f>
        <v/>
      </c>
      <c r="M45" s="38">
        <f>M67</f>
        <v/>
      </c>
      <c r="N45" s="36">
        <f>BF45+BG45+BH45+BI45</f>
        <v/>
      </c>
      <c r="O45" s="37">
        <f>BJ45+BK45+BL45+BM45</f>
        <v/>
      </c>
      <c r="P45" s="37">
        <f>BN45+BO45+BP45+BQ45</f>
        <v/>
      </c>
      <c r="R45" s="38">
        <f>R67</f>
        <v/>
      </c>
      <c r="S45" s="38">
        <f>S67</f>
        <v/>
      </c>
      <c r="T45" s="38">
        <f>T67</f>
        <v/>
      </c>
      <c r="U45" s="38">
        <f>U67</f>
        <v/>
      </c>
      <c r="V45" s="38">
        <f>V67</f>
        <v/>
      </c>
      <c r="W45" s="38">
        <f>W67</f>
        <v/>
      </c>
      <c r="X45" s="38">
        <f>X67</f>
        <v/>
      </c>
      <c r="Y45" s="38">
        <f>Y67</f>
        <v/>
      </c>
      <c r="Z45" s="38">
        <f>Z67</f>
        <v/>
      </c>
      <c r="AA45" s="38">
        <f>AA67</f>
        <v/>
      </c>
      <c r="AB45" s="38">
        <f>AB67</f>
        <v/>
      </c>
      <c r="AC45" s="38">
        <f>AC67</f>
        <v/>
      </c>
      <c r="AD45" s="38">
        <f>AD67</f>
        <v/>
      </c>
      <c r="AE45" s="38">
        <f>AE67</f>
        <v/>
      </c>
      <c r="AF45" s="38">
        <f>AF67</f>
        <v/>
      </c>
      <c r="AG45" s="38">
        <f>AG67</f>
        <v/>
      </c>
      <c r="AH45" s="38">
        <f>AH67</f>
        <v/>
      </c>
      <c r="AI45" s="38">
        <f>AI67</f>
        <v/>
      </c>
      <c r="AJ45" s="38">
        <f>AJ67</f>
        <v/>
      </c>
      <c r="AK45" s="38">
        <f>AK67</f>
        <v/>
      </c>
      <c r="AL45" s="38">
        <f>AL67</f>
        <v/>
      </c>
      <c r="AM45" s="38">
        <f>AM67</f>
        <v/>
      </c>
      <c r="AN45" s="38">
        <f>AN67</f>
        <v/>
      </c>
      <c r="AO45" s="38">
        <f>AO67</f>
        <v/>
      </c>
      <c r="AP45" s="38">
        <f>AP67</f>
        <v/>
      </c>
      <c r="AQ45" s="38">
        <f>AQ67</f>
        <v/>
      </c>
      <c r="AR45" s="38">
        <f>AR67</f>
        <v/>
      </c>
      <c r="AS45" s="38">
        <f>AS67</f>
        <v/>
      </c>
      <c r="AT45" s="38">
        <f>AT67</f>
        <v/>
      </c>
      <c r="AU45" s="38">
        <f>AU67</f>
        <v/>
      </c>
      <c r="AV45" s="38">
        <f>AV67</f>
        <v/>
      </c>
      <c r="AW45" s="38">
        <f>AW67</f>
        <v/>
      </c>
      <c r="AX45" s="38">
        <f>AX67</f>
        <v/>
      </c>
      <c r="AY45" s="38">
        <f>AY67</f>
        <v/>
      </c>
      <c r="AZ45" s="38">
        <f>AZ67</f>
        <v/>
      </c>
      <c r="BA45" s="38">
        <f>BA67</f>
        <v/>
      </c>
      <c r="BB45" s="38">
        <f>BB67</f>
        <v/>
      </c>
      <c r="BC45" s="38">
        <f>BC67</f>
        <v/>
      </c>
      <c r="BD45" s="38">
        <f>BD67</f>
        <v/>
      </c>
      <c r="BE45" s="38">
        <f>BE67</f>
        <v/>
      </c>
      <c r="BF45" s="38">
        <f>BF67</f>
        <v/>
      </c>
      <c r="BG45" s="38">
        <f>BG67</f>
        <v/>
      </c>
      <c r="BH45" s="43" t="n">
        <v>500</v>
      </c>
      <c r="BI45" s="43" t="n">
        <v>0</v>
      </c>
      <c r="BJ45" s="43" t="n">
        <v>0</v>
      </c>
      <c r="BK45" s="43" t="n">
        <v>0</v>
      </c>
      <c r="BL45" s="43" t="n">
        <v>0</v>
      </c>
      <c r="BM45" s="43" t="n">
        <v>0</v>
      </c>
      <c r="BN45" s="43" t="n">
        <v>0</v>
      </c>
      <c r="BO45" s="43" t="n">
        <v>0</v>
      </c>
      <c r="BP45" s="43" t="n">
        <v>0</v>
      </c>
      <c r="BQ45" s="43" t="n">
        <v>0</v>
      </c>
      <c r="BR45" s="30" t="inlineStr">
        <is>
          <t>重组与减值。2024 $53.4m、2025 $24.5m。预测Q3'26后趋近0。</t>
        </is>
      </c>
    </row>
    <row r="46">
      <c r="A46" s="4" t="inlineStr">
        <is>
          <t>P&amp;L</t>
        </is>
      </c>
      <c r="B46" s="7" t="inlineStr">
        <is>
          <t>Effective tax rate (on pretax profit)</t>
        </is>
      </c>
      <c r="C46" s="4" t="inlineStr">
        <is>
          <t>%</t>
        </is>
      </c>
      <c r="D46" s="39">
        <f>IF(D75=0,0,D76/D75)</f>
        <v/>
      </c>
      <c r="E46" s="39">
        <f>IF(E75=0,0,E76/E75)</f>
        <v/>
      </c>
      <c r="F46" s="39">
        <f>IF(F75=0,0,F76/F75)</f>
        <v/>
      </c>
      <c r="G46" s="39">
        <f>IF(G75=0,0,G76/G75)</f>
        <v/>
      </c>
      <c r="H46" s="39">
        <f>IF(H75=0,0,H76/H75)</f>
        <v/>
      </c>
      <c r="I46" s="39">
        <f>IF(I75=0,0,I76/I75)</f>
        <v/>
      </c>
      <c r="J46" s="39">
        <f>IF(J75=0,0,J76/J75)</f>
        <v/>
      </c>
      <c r="K46" s="39">
        <f>IF(K75=0,0,K76/K75)</f>
        <v/>
      </c>
      <c r="L46" s="39">
        <f>IF(L75=0,0,L76/L75)</f>
        <v/>
      </c>
      <c r="M46" s="39">
        <f>IF(M75=0,0,M76/M75)</f>
        <v/>
      </c>
      <c r="N46" s="40">
        <f>IF(N75=0,0,N76/N75)</f>
        <v/>
      </c>
      <c r="O46" s="41">
        <f>IF(O75=0,0,O76/O75)</f>
        <v/>
      </c>
      <c r="P46" s="41">
        <f>IF(P75=0,0,P76/P75)</f>
        <v/>
      </c>
      <c r="R46" s="39">
        <f>IF(R75=0,0,R76/R75)</f>
        <v/>
      </c>
      <c r="S46" s="39">
        <f>IF(S75=0,0,S76/S75)</f>
        <v/>
      </c>
      <c r="T46" s="39">
        <f>IF(T75=0,0,T76/T75)</f>
        <v/>
      </c>
      <c r="U46" s="39">
        <f>IF(U75=0,0,U76/U75)</f>
        <v/>
      </c>
      <c r="V46" s="39">
        <f>IF(V75=0,0,V76/V75)</f>
        <v/>
      </c>
      <c r="W46" s="39">
        <f>IF(W75=0,0,W76/W75)</f>
        <v/>
      </c>
      <c r="X46" s="39">
        <f>IF(X75=0,0,X76/X75)</f>
        <v/>
      </c>
      <c r="Y46" s="39">
        <f>IF(Y75=0,0,Y76/Y75)</f>
        <v/>
      </c>
      <c r="Z46" s="39">
        <f>IF(Z75=0,0,Z76/Z75)</f>
        <v/>
      </c>
      <c r="AA46" s="39">
        <f>IF(AA75=0,0,AA76/AA75)</f>
        <v/>
      </c>
      <c r="AB46" s="39">
        <f>IF(AB75=0,0,AB76/AB75)</f>
        <v/>
      </c>
      <c r="AC46" s="39">
        <f>IF(AC75=0,0,AC76/AC75)</f>
        <v/>
      </c>
      <c r="AD46" s="39">
        <f>IF(AD75=0,0,AD76/AD75)</f>
        <v/>
      </c>
      <c r="AE46" s="39">
        <f>IF(AE75=0,0,AE76/AE75)</f>
        <v/>
      </c>
      <c r="AF46" s="39">
        <f>IF(AF75=0,0,AF76/AF75)</f>
        <v/>
      </c>
      <c r="AG46" s="39">
        <f>IF(AG75=0,0,AG76/AG75)</f>
        <v/>
      </c>
      <c r="AH46" s="39">
        <f>IF(AH75=0,0,AH76/AH75)</f>
        <v/>
      </c>
      <c r="AI46" s="39">
        <f>IF(AI75=0,0,AI76/AI75)</f>
        <v/>
      </c>
      <c r="AJ46" s="39">
        <f>IF(AJ75=0,0,AJ76/AJ75)</f>
        <v/>
      </c>
      <c r="AK46" s="39">
        <f>IF(AK75=0,0,AK76/AK75)</f>
        <v/>
      </c>
      <c r="AL46" s="39">
        <f>IF(AL75=0,0,AL76/AL75)</f>
        <v/>
      </c>
      <c r="AM46" s="39">
        <f>IF(AM75=0,0,AM76/AM75)</f>
        <v/>
      </c>
      <c r="AN46" s="39">
        <f>IF(AN75=0,0,AN76/AN75)</f>
        <v/>
      </c>
      <c r="AO46" s="39">
        <f>IF(AO75=0,0,AO76/AO75)</f>
        <v/>
      </c>
      <c r="AP46" s="39">
        <f>IF(AP75=0,0,AP76/AP75)</f>
        <v/>
      </c>
      <c r="AQ46" s="39">
        <f>IF(AQ75=0,0,AQ76/AQ75)</f>
        <v/>
      </c>
      <c r="AR46" s="39">
        <f>IF(AR75=0,0,AR76/AR75)</f>
        <v/>
      </c>
      <c r="AS46" s="39">
        <f>IF(AS75=0,0,AS76/AS75)</f>
        <v/>
      </c>
      <c r="AT46" s="39">
        <f>IF(AT75=0,0,AT76/AT75)</f>
        <v/>
      </c>
      <c r="AU46" s="39">
        <f>IF(AU75=0,0,AU76/AU75)</f>
        <v/>
      </c>
      <c r="AV46" s="39">
        <f>IF(AV75=0,0,AV76/AV75)</f>
        <v/>
      </c>
      <c r="AW46" s="39">
        <f>IF(AW75=0,0,AW76/AW75)</f>
        <v/>
      </c>
      <c r="AX46" s="39">
        <f>IF(AX75=0,0,AX76/AX75)</f>
        <v/>
      </c>
      <c r="AY46" s="39">
        <f>IF(AY75=0,0,AY76/AY75)</f>
        <v/>
      </c>
      <c r="AZ46" s="39">
        <f>IF(AZ75=0,0,AZ76/AZ75)</f>
        <v/>
      </c>
      <c r="BA46" s="39">
        <f>IF(BA75=0,0,BA76/BA75)</f>
        <v/>
      </c>
      <c r="BB46" s="39">
        <f>IF(BB75=0,0,BB76/BB75)</f>
        <v/>
      </c>
      <c r="BC46" s="39">
        <f>IF(BC75=0,0,BC76/BC75)</f>
        <v/>
      </c>
      <c r="BD46" s="39">
        <f>IF(BD75=0,0,BD76/BD75)</f>
        <v/>
      </c>
      <c r="BE46" s="39">
        <f>IF(BE75=0,0,BE76/BE75)</f>
        <v/>
      </c>
      <c r="BF46" s="39">
        <f>IF(BF75=0,0,BF76/BF75)</f>
        <v/>
      </c>
      <c r="BG46" s="39">
        <f>IF(BG75=0,0,BG76/BG75)</f>
        <v/>
      </c>
      <c r="BH46" s="44" t="n">
        <v>0.12</v>
      </c>
      <c r="BI46" s="44" t="n">
        <v>0.12</v>
      </c>
      <c r="BJ46" s="44" t="n">
        <v>0.12</v>
      </c>
      <c r="BK46" s="44" t="n">
        <v>0.12</v>
      </c>
      <c r="BL46" s="44" t="n">
        <v>0.12</v>
      </c>
      <c r="BM46" s="44" t="n">
        <v>0.12</v>
      </c>
      <c r="BN46" s="44" t="n">
        <v>0.13</v>
      </c>
      <c r="BO46" s="44" t="n">
        <v>0.13</v>
      </c>
      <c r="BP46" s="44" t="n">
        <v>0.13</v>
      </c>
      <c r="BQ46" s="44" t="n">
        <v>0.13</v>
      </c>
      <c r="BR46" s="30" t="inlineStr">
        <is>
          <t>亏损期现金税主要为境外最低税（Q3指引约$1.5m）。盈利期用12–13% ETR（NOLs）。</t>
        </is>
      </c>
    </row>
    <row r="47">
      <c r="A47" s="4" t="inlineStr">
        <is>
          <t>P&amp;L</t>
        </is>
      </c>
      <c r="B47" s="7" t="inlineStr">
        <is>
          <t>Minimum tax if EBT≤0</t>
        </is>
      </c>
      <c r="C47" s="4" t="inlineStr">
        <is>
          <t>$000</t>
        </is>
      </c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6">
        <f>BI47</f>
        <v/>
      </c>
      <c r="O47" s="37">
        <f>BM47</f>
        <v/>
      </c>
      <c r="P47" s="37">
        <f>BQ47</f>
        <v/>
      </c>
      <c r="R47" s="35" t="n">
        <v>1500</v>
      </c>
      <c r="S47" s="35" t="n">
        <v>1500</v>
      </c>
      <c r="T47" s="35" t="n">
        <v>1500</v>
      </c>
      <c r="U47" s="35" t="n">
        <v>1500</v>
      </c>
      <c r="V47" s="35" t="n">
        <v>1500</v>
      </c>
      <c r="W47" s="35" t="n">
        <v>1500</v>
      </c>
      <c r="X47" s="35" t="n">
        <v>1500</v>
      </c>
      <c r="Y47" s="35" t="n">
        <v>1500</v>
      </c>
      <c r="Z47" s="35" t="n">
        <v>1500</v>
      </c>
      <c r="AA47" s="35" t="n">
        <v>1500</v>
      </c>
      <c r="AB47" s="35" t="n">
        <v>1500</v>
      </c>
      <c r="AC47" s="35" t="n">
        <v>1500</v>
      </c>
      <c r="AD47" s="35" t="n">
        <v>1500</v>
      </c>
      <c r="AE47" s="35" t="n">
        <v>1500</v>
      </c>
      <c r="AF47" s="35" t="n">
        <v>1500</v>
      </c>
      <c r="AG47" s="35" t="n">
        <v>1500</v>
      </c>
      <c r="AH47" s="35" t="n">
        <v>1500</v>
      </c>
      <c r="AI47" s="35" t="n">
        <v>1500</v>
      </c>
      <c r="AJ47" s="35" t="n">
        <v>1500</v>
      </c>
      <c r="AK47" s="35" t="n">
        <v>1500</v>
      </c>
      <c r="AL47" s="35" t="n">
        <v>1500</v>
      </c>
      <c r="AM47" s="35" t="n">
        <v>1500</v>
      </c>
      <c r="AN47" s="35" t="n">
        <v>1500</v>
      </c>
      <c r="AO47" s="35" t="n">
        <v>1500</v>
      </c>
      <c r="AP47" s="35" t="n">
        <v>1500</v>
      </c>
      <c r="AQ47" s="35" t="n">
        <v>1500</v>
      </c>
      <c r="AR47" s="35" t="n">
        <v>1500</v>
      </c>
      <c r="AS47" s="35" t="n">
        <v>1500</v>
      </c>
      <c r="AT47" s="35" t="n">
        <v>1500</v>
      </c>
      <c r="AU47" s="35" t="n">
        <v>1500</v>
      </c>
      <c r="AV47" s="35" t="n">
        <v>1500</v>
      </c>
      <c r="AW47" s="35" t="n">
        <v>1500</v>
      </c>
      <c r="AX47" s="35" t="n">
        <v>1500</v>
      </c>
      <c r="AY47" s="35" t="n">
        <v>1500</v>
      </c>
      <c r="AZ47" s="35" t="n">
        <v>1500</v>
      </c>
      <c r="BA47" s="35" t="n">
        <v>1500</v>
      </c>
      <c r="BB47" s="35" t="n">
        <v>1500</v>
      </c>
      <c r="BC47" s="35" t="n">
        <v>1500</v>
      </c>
      <c r="BD47" s="35" t="n">
        <v>1500</v>
      </c>
      <c r="BE47" s="35" t="n">
        <v>1500</v>
      </c>
      <c r="BF47" s="35" t="n">
        <v>1500</v>
      </c>
      <c r="BG47" s="35" t="n">
        <v>1500</v>
      </c>
      <c r="BH47" s="43" t="n">
        <v>1500</v>
      </c>
      <c r="BI47" s="43" t="n">
        <v>1500</v>
      </c>
      <c r="BJ47" s="43" t="n">
        <v>1500</v>
      </c>
      <c r="BK47" s="43" t="n">
        <v>1500</v>
      </c>
      <c r="BL47" s="43" t="n">
        <v>1500</v>
      </c>
      <c r="BM47" s="43" t="n">
        <v>1500</v>
      </c>
      <c r="BN47" s="43" t="n">
        <v>1500</v>
      </c>
      <c r="BO47" s="43" t="n">
        <v>1500</v>
      </c>
      <c r="BP47" s="43" t="n">
        <v>1500</v>
      </c>
      <c r="BQ47" s="43" t="n">
        <v>1500</v>
      </c>
      <c r="BR47" s="30" t="inlineStr">
        <is>
          <t>亏损季最低税。Q3'26指引$1.5m。</t>
        </is>
      </c>
    </row>
    <row r="48">
      <c r="A48" s="4" t="inlineStr">
        <is>
          <t>P&amp;L</t>
        </is>
      </c>
      <c r="B48" s="7" t="inlineStr">
        <is>
          <t>Cash quarterly yield</t>
        </is>
      </c>
      <c r="C48" s="4" t="inlineStr">
        <is>
          <t>%</t>
        </is>
      </c>
      <c r="D48" s="45" t="n">
        <v>0.008</v>
      </c>
      <c r="E48" s="45" t="n">
        <v>0.008</v>
      </c>
      <c r="F48" s="45" t="n">
        <v>0.008</v>
      </c>
      <c r="G48" s="45" t="n">
        <v>0.008</v>
      </c>
      <c r="H48" s="45" t="n">
        <v>0.008</v>
      </c>
      <c r="I48" s="45" t="n">
        <v>0.008</v>
      </c>
      <c r="J48" s="45" t="n">
        <v>0.008</v>
      </c>
      <c r="K48" s="45" t="n">
        <v>0.008</v>
      </c>
      <c r="L48" s="45" t="n">
        <v>0.008</v>
      </c>
      <c r="M48" s="45" t="n">
        <v>0.008</v>
      </c>
      <c r="N48" s="46" t="n">
        <v>0.008999999999999999</v>
      </c>
      <c r="O48" s="44" t="n">
        <v>0.008999999999999999</v>
      </c>
      <c r="P48" s="44" t="n">
        <v>0.008999999999999999</v>
      </c>
      <c r="R48" s="45" t="n">
        <v>0.008</v>
      </c>
      <c r="S48" s="45" t="n">
        <v>0.008</v>
      </c>
      <c r="T48" s="45" t="n">
        <v>0.008</v>
      </c>
      <c r="U48" s="45" t="n">
        <v>0.008</v>
      </c>
      <c r="V48" s="45" t="n">
        <v>0.008</v>
      </c>
      <c r="W48" s="45" t="n">
        <v>0.008</v>
      </c>
      <c r="X48" s="45" t="n">
        <v>0.008</v>
      </c>
      <c r="Y48" s="45" t="n">
        <v>0.008</v>
      </c>
      <c r="Z48" s="45" t="n">
        <v>0.008</v>
      </c>
      <c r="AA48" s="45" t="n">
        <v>0.008</v>
      </c>
      <c r="AB48" s="45" t="n">
        <v>0.008</v>
      </c>
      <c r="AC48" s="45" t="n">
        <v>0.008</v>
      </c>
      <c r="AD48" s="45" t="n">
        <v>0.008</v>
      </c>
      <c r="AE48" s="45" t="n">
        <v>0.008</v>
      </c>
      <c r="AF48" s="45" t="n">
        <v>0.008</v>
      </c>
      <c r="AG48" s="45" t="n">
        <v>0.008</v>
      </c>
      <c r="AH48" s="45" t="n">
        <v>0.008</v>
      </c>
      <c r="AI48" s="45" t="n">
        <v>0.008</v>
      </c>
      <c r="AJ48" s="45" t="n">
        <v>0.008</v>
      </c>
      <c r="AK48" s="45" t="n">
        <v>0.008</v>
      </c>
      <c r="AL48" s="45" t="n">
        <v>0.008</v>
      </c>
      <c r="AM48" s="45" t="n">
        <v>0.008</v>
      </c>
      <c r="AN48" s="45" t="n">
        <v>0.008</v>
      </c>
      <c r="AO48" s="45" t="n">
        <v>0.008</v>
      </c>
      <c r="AP48" s="45" t="n">
        <v>0.008</v>
      </c>
      <c r="AQ48" s="45" t="n">
        <v>0.008</v>
      </c>
      <c r="AR48" s="45" t="n">
        <v>0.008</v>
      </c>
      <c r="AS48" s="45" t="n">
        <v>0.008</v>
      </c>
      <c r="AT48" s="45" t="n">
        <v>0.008</v>
      </c>
      <c r="AU48" s="45" t="n">
        <v>0.008</v>
      </c>
      <c r="AV48" s="45" t="n">
        <v>0.008</v>
      </c>
      <c r="AW48" s="45" t="n">
        <v>0.008</v>
      </c>
      <c r="AX48" s="45" t="n">
        <v>0.008</v>
      </c>
      <c r="AY48" s="45" t="n">
        <v>0.008</v>
      </c>
      <c r="AZ48" s="45" t="n">
        <v>0.008</v>
      </c>
      <c r="BA48" s="45" t="n">
        <v>0.008</v>
      </c>
      <c r="BB48" s="45" t="n">
        <v>0.008</v>
      </c>
      <c r="BC48" s="45" t="n">
        <v>0.008</v>
      </c>
      <c r="BD48" s="45" t="n">
        <v>0.008</v>
      </c>
      <c r="BE48" s="45" t="n">
        <v>0.008</v>
      </c>
      <c r="BF48" s="45" t="n">
        <v>0.008</v>
      </c>
      <c r="BG48" s="45" t="n">
        <v>0.008</v>
      </c>
      <c r="BH48" s="44" t="n">
        <v>0.008</v>
      </c>
      <c r="BI48" s="44" t="n">
        <v>0.008</v>
      </c>
      <c r="BJ48" s="44" t="n">
        <v>0.008999999999999999</v>
      </c>
      <c r="BK48" s="44" t="n">
        <v>0.008999999999999999</v>
      </c>
      <c r="BL48" s="44" t="n">
        <v>0.008999999999999999</v>
      </c>
      <c r="BM48" s="44" t="n">
        <v>0.01</v>
      </c>
      <c r="BN48" s="44" t="n">
        <v>0.01</v>
      </c>
      <c r="BO48" s="44" t="n">
        <v>0.01</v>
      </c>
      <c r="BP48" s="44" t="n">
        <v>0.01</v>
      </c>
      <c r="BQ48" s="44" t="n">
        <v>0.01</v>
      </c>
      <c r="BR48" s="30" t="inlineStr">
        <is>
          <t>利息收入=期初现金×季收益率。避免循环引用。约3.2–4.0%年化。</t>
        </is>
      </c>
    </row>
    <row r="49">
      <c r="A49" s="4" t="inlineStr">
        <is>
          <t>P&amp;L</t>
        </is>
      </c>
      <c r="B49" s="7" t="inlineStr">
        <is>
          <t>Cost of debt (quarterly)</t>
        </is>
      </c>
      <c r="C49" s="4" t="inlineStr">
        <is>
          <t>%</t>
        </is>
      </c>
      <c r="D49" s="45" t="n">
        <v>0.018</v>
      </c>
      <c r="E49" s="45" t="n">
        <v>0.018</v>
      </c>
      <c r="F49" s="45" t="n">
        <v>0.018</v>
      </c>
      <c r="G49" s="45" t="n">
        <v>0.018</v>
      </c>
      <c r="H49" s="45" t="n">
        <v>0.018</v>
      </c>
      <c r="I49" s="45" t="n">
        <v>0.018</v>
      </c>
      <c r="J49" s="45" t="n">
        <v>0.018</v>
      </c>
      <c r="K49" s="45" t="n">
        <v>0.018</v>
      </c>
      <c r="L49" s="45" t="n">
        <v>0.018</v>
      </c>
      <c r="M49" s="45" t="n">
        <v>0.018</v>
      </c>
      <c r="N49" s="46" t="n">
        <v>0.018</v>
      </c>
      <c r="O49" s="44" t="n">
        <v>0.018</v>
      </c>
      <c r="P49" s="44" t="n">
        <v>0.018</v>
      </c>
      <c r="R49" s="45" t="n">
        <v>0.018</v>
      </c>
      <c r="S49" s="45" t="n">
        <v>0.018</v>
      </c>
      <c r="T49" s="45" t="n">
        <v>0.018</v>
      </c>
      <c r="U49" s="45" t="n">
        <v>0.018</v>
      </c>
      <c r="V49" s="45" t="n">
        <v>0.018</v>
      </c>
      <c r="W49" s="45" t="n">
        <v>0.018</v>
      </c>
      <c r="X49" s="45" t="n">
        <v>0.018</v>
      </c>
      <c r="Y49" s="45" t="n">
        <v>0.018</v>
      </c>
      <c r="Z49" s="45" t="n">
        <v>0.018</v>
      </c>
      <c r="AA49" s="45" t="n">
        <v>0.018</v>
      </c>
      <c r="AB49" s="45" t="n">
        <v>0.018</v>
      </c>
      <c r="AC49" s="45" t="n">
        <v>0.018</v>
      </c>
      <c r="AD49" s="45" t="n">
        <v>0.018</v>
      </c>
      <c r="AE49" s="45" t="n">
        <v>0.018</v>
      </c>
      <c r="AF49" s="45" t="n">
        <v>0.018</v>
      </c>
      <c r="AG49" s="45" t="n">
        <v>0.018</v>
      </c>
      <c r="AH49" s="45" t="n">
        <v>0.018</v>
      </c>
      <c r="AI49" s="45" t="n">
        <v>0.018</v>
      </c>
      <c r="AJ49" s="45" t="n">
        <v>0.018</v>
      </c>
      <c r="AK49" s="45" t="n">
        <v>0.018</v>
      </c>
      <c r="AL49" s="45" t="n">
        <v>0.018</v>
      </c>
      <c r="AM49" s="45" t="n">
        <v>0.018</v>
      </c>
      <c r="AN49" s="45" t="n">
        <v>0.018</v>
      </c>
      <c r="AO49" s="45" t="n">
        <v>0.018</v>
      </c>
      <c r="AP49" s="45" t="n">
        <v>0.018</v>
      </c>
      <c r="AQ49" s="45" t="n">
        <v>0.018</v>
      </c>
      <c r="AR49" s="45" t="n">
        <v>0.018</v>
      </c>
      <c r="AS49" s="45" t="n">
        <v>0.018</v>
      </c>
      <c r="AT49" s="45" t="n">
        <v>0.018</v>
      </c>
      <c r="AU49" s="45" t="n">
        <v>0.018</v>
      </c>
      <c r="AV49" s="45" t="n">
        <v>0.018</v>
      </c>
      <c r="AW49" s="45" t="n">
        <v>0.018</v>
      </c>
      <c r="AX49" s="45" t="n">
        <v>0.018</v>
      </c>
      <c r="AY49" s="45" t="n">
        <v>0.018</v>
      </c>
      <c r="AZ49" s="45" t="n">
        <v>0.018</v>
      </c>
      <c r="BA49" s="45" t="n">
        <v>0.018</v>
      </c>
      <c r="BB49" s="45" t="n">
        <v>0.018</v>
      </c>
      <c r="BC49" s="45" t="n">
        <v>0.018</v>
      </c>
      <c r="BD49" s="45" t="n">
        <v>0.018</v>
      </c>
      <c r="BE49" s="45" t="n">
        <v>0.018</v>
      </c>
      <c r="BF49" s="45" t="n">
        <v>0.018</v>
      </c>
      <c r="BG49" s="45" t="n">
        <v>0.018</v>
      </c>
      <c r="BH49" s="44" t="n">
        <v>0.018</v>
      </c>
      <c r="BI49" s="44" t="n">
        <v>0.018</v>
      </c>
      <c r="BJ49" s="44" t="n">
        <v>0.018</v>
      </c>
      <c r="BK49" s="44" t="n">
        <v>0.018</v>
      </c>
      <c r="BL49" s="44" t="n">
        <v>0.018</v>
      </c>
      <c r="BM49" s="44" t="n">
        <v>0.018</v>
      </c>
      <c r="BN49" s="44" t="n">
        <v>0.017</v>
      </c>
      <c r="BO49" s="44" t="n">
        <v>0.017</v>
      </c>
      <c r="BP49" s="44" t="n">
        <v>0.017</v>
      </c>
      <c r="BQ49" s="44" t="n">
        <v>0.017</v>
      </c>
      <c r="BR49" s="30" t="inlineStr">
        <is>
          <t>定期贷款+循环贷成本，约7.2%年化（1.8%/季）。Q2'26利息支出$2.27m。</t>
        </is>
      </c>
    </row>
    <row r="50">
      <c r="A50" s="4" t="inlineStr">
        <is>
          <t>P&amp;L</t>
        </is>
      </c>
      <c r="B50" s="7" t="inlineStr">
        <is>
          <t>Other income / (expense)</t>
        </is>
      </c>
      <c r="C50" s="4" t="inlineStr">
        <is>
          <t>$000</t>
        </is>
      </c>
      <c r="D50" s="38">
        <f>D74</f>
        <v/>
      </c>
      <c r="E50" s="38">
        <f>E74</f>
        <v/>
      </c>
      <c r="F50" s="38">
        <f>F74</f>
        <v/>
      </c>
      <c r="G50" s="38">
        <f>G74</f>
        <v/>
      </c>
      <c r="H50" s="38">
        <f>H74</f>
        <v/>
      </c>
      <c r="I50" s="38">
        <f>I74</f>
        <v/>
      </c>
      <c r="J50" s="38">
        <f>J74</f>
        <v/>
      </c>
      <c r="K50" s="38">
        <f>K74</f>
        <v/>
      </c>
      <c r="L50" s="38">
        <f>L74</f>
        <v/>
      </c>
      <c r="M50" s="38">
        <f>M74</f>
        <v/>
      </c>
      <c r="N50" s="36">
        <f>BF50+BG50+BH50+BI50</f>
        <v/>
      </c>
      <c r="O50" s="37">
        <f>BJ50+BK50+BL50+BM50</f>
        <v/>
      </c>
      <c r="P50" s="37">
        <f>BN50+BO50+BP50+BQ50</f>
        <v/>
      </c>
      <c r="R50" s="38">
        <f>R74</f>
        <v/>
      </c>
      <c r="S50" s="38">
        <f>S74</f>
        <v/>
      </c>
      <c r="T50" s="38">
        <f>T74</f>
        <v/>
      </c>
      <c r="U50" s="38">
        <f>U74</f>
        <v/>
      </c>
      <c r="V50" s="38">
        <f>V74</f>
        <v/>
      </c>
      <c r="W50" s="38">
        <f>W74</f>
        <v/>
      </c>
      <c r="X50" s="38">
        <f>X74</f>
        <v/>
      </c>
      <c r="Y50" s="38">
        <f>Y74</f>
        <v/>
      </c>
      <c r="Z50" s="38">
        <f>Z74</f>
        <v/>
      </c>
      <c r="AA50" s="38">
        <f>AA74</f>
        <v/>
      </c>
      <c r="AB50" s="38">
        <f>AB74</f>
        <v/>
      </c>
      <c r="AC50" s="38">
        <f>AC74</f>
        <v/>
      </c>
      <c r="AD50" s="38">
        <f>AD74</f>
        <v/>
      </c>
      <c r="AE50" s="38">
        <f>AE74</f>
        <v/>
      </c>
      <c r="AF50" s="38">
        <f>AF74</f>
        <v/>
      </c>
      <c r="AG50" s="38">
        <f>AG74</f>
        <v/>
      </c>
      <c r="AH50" s="38">
        <f>AH74</f>
        <v/>
      </c>
      <c r="AI50" s="38">
        <f>AI74</f>
        <v/>
      </c>
      <c r="AJ50" s="38">
        <f>AJ74</f>
        <v/>
      </c>
      <c r="AK50" s="38">
        <f>AK74</f>
        <v/>
      </c>
      <c r="AL50" s="38">
        <f>AL74</f>
        <v/>
      </c>
      <c r="AM50" s="38">
        <f>AM74</f>
        <v/>
      </c>
      <c r="AN50" s="38">
        <f>AN74</f>
        <v/>
      </c>
      <c r="AO50" s="38">
        <f>AO74</f>
        <v/>
      </c>
      <c r="AP50" s="38">
        <f>AP74</f>
        <v/>
      </c>
      <c r="AQ50" s="38">
        <f>AQ74</f>
        <v/>
      </c>
      <c r="AR50" s="38">
        <f>AR74</f>
        <v/>
      </c>
      <c r="AS50" s="38">
        <f>AS74</f>
        <v/>
      </c>
      <c r="AT50" s="38">
        <f>AT74</f>
        <v/>
      </c>
      <c r="AU50" s="38">
        <f>AU74</f>
        <v/>
      </c>
      <c r="AV50" s="38">
        <f>AV74</f>
        <v/>
      </c>
      <c r="AW50" s="38">
        <f>AW74</f>
        <v/>
      </c>
      <c r="AX50" s="38">
        <f>AX74</f>
        <v/>
      </c>
      <c r="AY50" s="38">
        <f>AY74</f>
        <v/>
      </c>
      <c r="AZ50" s="38">
        <f>AZ74</f>
        <v/>
      </c>
      <c r="BA50" s="38">
        <f>BA74</f>
        <v/>
      </c>
      <c r="BB50" s="38">
        <f>BB74</f>
        <v/>
      </c>
      <c r="BC50" s="38">
        <f>BC74</f>
        <v/>
      </c>
      <c r="BD50" s="38">
        <f>BD74</f>
        <v/>
      </c>
      <c r="BE50" s="38">
        <f>BE74</f>
        <v/>
      </c>
      <c r="BF50" s="38">
        <f>BF74</f>
        <v/>
      </c>
      <c r="BG50" s="38">
        <f>BG74</f>
        <v/>
      </c>
      <c r="BH50" s="43" t="n">
        <v>0</v>
      </c>
      <c r="BI50" s="43" t="n">
        <v>0</v>
      </c>
      <c r="BJ50" s="43" t="n">
        <v>0</v>
      </c>
      <c r="BK50" s="43" t="n">
        <v>0</v>
      </c>
      <c r="BL50" s="43" t="n">
        <v>0</v>
      </c>
      <c r="BM50" s="43" t="n">
        <v>0</v>
      </c>
      <c r="BN50" s="43" t="n">
        <v>0</v>
      </c>
      <c r="BO50" s="43" t="n">
        <v>0</v>
      </c>
      <c r="BP50" s="43" t="n">
        <v>0</v>
      </c>
      <c r="BQ50" s="43" t="n">
        <v>0</v>
      </c>
      <c r="BR50" s="30" t="inlineStr">
        <is>
          <t>汇兑及其他。预测0。</t>
        </is>
      </c>
    </row>
    <row r="51">
      <c r="A51" s="4" t="inlineStr">
        <is>
          <t>BS</t>
        </is>
      </c>
      <c r="B51" s="7" t="inlineStr">
        <is>
          <t>DSO (AR days)</t>
        </is>
      </c>
      <c r="C51" s="4" t="inlineStr">
        <is>
          <t>days</t>
        </is>
      </c>
      <c r="D51" s="47" t="n">
        <v>47.5</v>
      </c>
      <c r="E51" s="47" t="n">
        <v>57.4</v>
      </c>
      <c r="F51" s="47" t="n">
        <v>56.4</v>
      </c>
      <c r="G51" s="47" t="n">
        <v>58</v>
      </c>
      <c r="H51" s="47" t="n">
        <v>51.4</v>
      </c>
      <c r="I51" s="47" t="n">
        <v>49</v>
      </c>
      <c r="J51" s="47" t="n">
        <v>55.7</v>
      </c>
      <c r="K51" s="47" t="n">
        <v>89.8</v>
      </c>
      <c r="L51" s="47" t="n">
        <v>86.5</v>
      </c>
      <c r="M51" s="47" t="n">
        <v>36</v>
      </c>
      <c r="N51" s="27">
        <f>BI51</f>
        <v/>
      </c>
      <c r="O51" s="28">
        <f>BM51</f>
        <v/>
      </c>
      <c r="P51" s="28">
        <f>BQ51</f>
        <v/>
      </c>
      <c r="R51" s="47" t="n">
        <v>36.4</v>
      </c>
      <c r="S51" s="47" t="n">
        <v>39.7</v>
      </c>
      <c r="T51" s="47" t="n">
        <v>46.9</v>
      </c>
      <c r="U51" s="47" t="n">
        <v>53.3</v>
      </c>
      <c r="V51" s="47" t="n">
        <v>59.2</v>
      </c>
      <c r="W51" s="47" t="n">
        <v>72.2</v>
      </c>
      <c r="X51" s="47" t="n">
        <v>60.6</v>
      </c>
      <c r="Y51" s="47" t="n">
        <v>53.5</v>
      </c>
      <c r="Z51" s="47" t="n">
        <v>74.40000000000001</v>
      </c>
      <c r="AA51" s="47" t="n">
        <v>75</v>
      </c>
      <c r="AB51" s="47" t="n">
        <v>62.8</v>
      </c>
      <c r="AC51" s="47" t="n">
        <v>62.5</v>
      </c>
      <c r="AD51" s="47" t="n">
        <v>64.09999999999999</v>
      </c>
      <c r="AE51" s="47" t="n">
        <v>62.4</v>
      </c>
      <c r="AF51" s="47" t="n">
        <v>64.09999999999999</v>
      </c>
      <c r="AG51" s="47" t="n">
        <v>66.2</v>
      </c>
      <c r="AH51" s="47" t="n">
        <v>65.7</v>
      </c>
      <c r="AI51" s="47" t="n">
        <v>57.8</v>
      </c>
      <c r="AJ51" s="47" t="n">
        <v>61.2</v>
      </c>
      <c r="AK51" s="47" t="n">
        <v>31.9</v>
      </c>
      <c r="AL51" s="47" t="n">
        <v>38</v>
      </c>
      <c r="AM51" s="47" t="n">
        <v>60</v>
      </c>
      <c r="AN51" s="47" t="n">
        <v>42.3</v>
      </c>
      <c r="AO51" s="47" t="n">
        <v>44.4</v>
      </c>
      <c r="AP51" s="47" t="n">
        <v>43.3</v>
      </c>
      <c r="AQ51" s="47" t="n">
        <v>44.5</v>
      </c>
      <c r="AR51" s="47" t="n">
        <v>56.7</v>
      </c>
      <c r="AS51" s="47" t="n">
        <v>54.1</v>
      </c>
      <c r="AT51" s="47" t="n">
        <v>69.09999999999999</v>
      </c>
      <c r="AU51" s="47" t="n">
        <v>77.09999999999999</v>
      </c>
      <c r="AV51" s="47" t="n">
        <v>106.2</v>
      </c>
      <c r="AW51" s="47" t="n">
        <v>125.2</v>
      </c>
      <c r="AX51" s="47" t="n">
        <v>120.6</v>
      </c>
      <c r="AY51" s="47" t="n">
        <v>84</v>
      </c>
      <c r="AZ51" s="47" t="n">
        <v>53.8</v>
      </c>
      <c r="BA51" s="47" t="n">
        <v>85.3</v>
      </c>
      <c r="BB51" s="47" t="n">
        <v>93.8</v>
      </c>
      <c r="BC51" s="47" t="n">
        <v>88.5</v>
      </c>
      <c r="BD51" s="47" t="n">
        <v>38.1</v>
      </c>
      <c r="BE51" s="47" t="n">
        <v>31.1</v>
      </c>
      <c r="BF51" s="47" t="n">
        <v>27.1</v>
      </c>
      <c r="BG51" s="47" t="n">
        <v>27.5</v>
      </c>
      <c r="BH51" s="29" t="n">
        <v>32</v>
      </c>
      <c r="BI51" s="29" t="n">
        <v>32</v>
      </c>
      <c r="BJ51" s="29" t="n">
        <v>34</v>
      </c>
      <c r="BK51" s="29" t="n">
        <v>34</v>
      </c>
      <c r="BL51" s="29" t="n">
        <v>33</v>
      </c>
      <c r="BM51" s="29" t="n">
        <v>32</v>
      </c>
      <c r="BN51" s="29" t="n">
        <v>32</v>
      </c>
      <c r="BO51" s="29" t="n">
        <v>31</v>
      </c>
      <c r="BP51" s="29" t="n">
        <v>30</v>
      </c>
      <c r="BQ51" s="29" t="n">
        <v>30</v>
      </c>
      <c r="BR51" s="30" t="inlineStr">
        <is>
          <t>应收账款天数。Q2'26约27.5天（偏低，渠道/分销）。预测光学直销升至~30–34天。</t>
        </is>
      </c>
    </row>
    <row r="52">
      <c r="A52" s="4" t="inlineStr">
        <is>
          <t>BS</t>
        </is>
      </c>
      <c r="B52" s="7" t="inlineStr">
        <is>
          <t>DIO (Inventory days)</t>
        </is>
      </c>
      <c r="C52" s="4" t="inlineStr">
        <is>
          <t>days</t>
        </is>
      </c>
      <c r="D52" s="47" t="n">
        <v>61.5</v>
      </c>
      <c r="E52" s="47" t="n">
        <v>91.8</v>
      </c>
      <c r="F52" s="47" t="n">
        <v>86.40000000000001</v>
      </c>
      <c r="G52" s="47" t="n">
        <v>76.90000000000001</v>
      </c>
      <c r="H52" s="47" t="n">
        <v>134.4</v>
      </c>
      <c r="I52" s="47" t="n">
        <v>121.2</v>
      </c>
      <c r="J52" s="47" t="n">
        <v>124.5</v>
      </c>
      <c r="K52" s="47" t="n">
        <v>118.6</v>
      </c>
      <c r="L52" s="47" t="n">
        <v>199</v>
      </c>
      <c r="M52" s="47" t="n">
        <v>141.2</v>
      </c>
      <c r="N52" s="27">
        <f>BI52</f>
        <v/>
      </c>
      <c r="O52" s="28">
        <f>BM52</f>
        <v/>
      </c>
      <c r="P52" s="28">
        <f>BQ52</f>
        <v/>
      </c>
      <c r="R52" s="47" t="n">
        <v>64.5</v>
      </c>
      <c r="S52" s="47" t="n">
        <v>60.1</v>
      </c>
      <c r="T52" s="47" t="n">
        <v>71.59999999999999</v>
      </c>
      <c r="U52" s="47" t="n">
        <v>66.59999999999999</v>
      </c>
      <c r="V52" s="47" t="n">
        <v>80.3</v>
      </c>
      <c r="W52" s="47" t="n">
        <v>133</v>
      </c>
      <c r="X52" s="47" t="n">
        <v>93.90000000000001</v>
      </c>
      <c r="Y52" s="47" t="n">
        <v>79.8</v>
      </c>
      <c r="Z52" s="47" t="n">
        <v>86.5</v>
      </c>
      <c r="AA52" s="47" t="n">
        <v>89.3</v>
      </c>
      <c r="AB52" s="47" t="n">
        <v>92.40000000000001</v>
      </c>
      <c r="AC52" s="47" t="n">
        <v>92</v>
      </c>
      <c r="AD52" s="47" t="n">
        <v>98.3</v>
      </c>
      <c r="AE52" s="47" t="n">
        <v>101.5</v>
      </c>
      <c r="AF52" s="47" t="n">
        <v>89.90000000000001</v>
      </c>
      <c r="AG52" s="47" t="n">
        <v>86.8</v>
      </c>
      <c r="AH52" s="47" t="n">
        <v>90.5</v>
      </c>
      <c r="AI52" s="47" t="n">
        <v>96.09999999999999</v>
      </c>
      <c r="AJ52" s="47" t="n">
        <v>105.1</v>
      </c>
      <c r="AK52" s="47" t="n">
        <v>80.59999999999999</v>
      </c>
      <c r="AL52" s="47" t="n">
        <v>85.90000000000001</v>
      </c>
      <c r="AM52" s="47" t="n">
        <v>96.59999999999999</v>
      </c>
      <c r="AN52" s="47" t="n">
        <v>115.9</v>
      </c>
      <c r="AO52" s="47" t="n">
        <v>114.2</v>
      </c>
      <c r="AP52" s="47" t="n">
        <v>115.7</v>
      </c>
      <c r="AQ52" s="47" t="n">
        <v>115.2</v>
      </c>
      <c r="AR52" s="47" t="n">
        <v>127.7</v>
      </c>
      <c r="AS52" s="47" t="n">
        <v>116.1</v>
      </c>
      <c r="AT52" s="47" t="n">
        <v>125.9</v>
      </c>
      <c r="AU52" s="47" t="n">
        <v>141.6</v>
      </c>
      <c r="AV52" s="47" t="n">
        <v>169.8</v>
      </c>
      <c r="AW52" s="47" t="n">
        <v>161.8</v>
      </c>
      <c r="AX52" s="47" t="n">
        <v>190.2</v>
      </c>
      <c r="AY52" s="47" t="n">
        <v>206.2</v>
      </c>
      <c r="AZ52" s="47" t="n">
        <v>236.1</v>
      </c>
      <c r="BA52" s="47" t="n">
        <v>203.1</v>
      </c>
      <c r="BB52" s="47" t="n">
        <v>185.9</v>
      </c>
      <c r="BC52" s="47" t="n">
        <v>165.6</v>
      </c>
      <c r="BD52" s="47" t="n">
        <v>144</v>
      </c>
      <c r="BE52" s="47" t="n">
        <v>124.1</v>
      </c>
      <c r="BF52" s="47" t="n">
        <v>134</v>
      </c>
      <c r="BG52" s="47" t="n">
        <v>134.9</v>
      </c>
      <c r="BH52" s="29" t="n">
        <v>118</v>
      </c>
      <c r="BI52" s="29" t="n">
        <v>112</v>
      </c>
      <c r="BJ52" s="29" t="n">
        <v>108</v>
      </c>
      <c r="BK52" s="29" t="n">
        <v>105</v>
      </c>
      <c r="BL52" s="29" t="n">
        <v>100</v>
      </c>
      <c r="BM52" s="29" t="n">
        <v>96</v>
      </c>
      <c r="BN52" s="29" t="n">
        <v>92</v>
      </c>
      <c r="BO52" s="29" t="n">
        <v>90</v>
      </c>
      <c r="BP52" s="29" t="n">
        <v>88</v>
      </c>
      <c r="BQ52" s="29" t="n">
        <v>85</v>
      </c>
      <c r="BR52" s="30" t="inlineStr">
        <is>
          <t>存货天数。Q2'26约135天（光学ramp备货）。预测随周转降至~85天。</t>
        </is>
      </c>
    </row>
    <row r="53">
      <c r="A53" s="4" t="inlineStr">
        <is>
          <t>BS</t>
        </is>
      </c>
      <c r="B53" s="7" t="inlineStr">
        <is>
          <t>DPO (AP days)</t>
        </is>
      </c>
      <c r="C53" s="4" t="inlineStr">
        <is>
          <t>days</t>
        </is>
      </c>
      <c r="D53" s="47" t="n">
        <v>15.6</v>
      </c>
      <c r="E53" s="47" t="n">
        <v>29.1</v>
      </c>
      <c r="F53" s="47" t="n">
        <v>32.3</v>
      </c>
      <c r="G53" s="47" t="n">
        <v>32.8</v>
      </c>
      <c r="H53" s="47" t="n">
        <v>45</v>
      </c>
      <c r="I53" s="47" t="n">
        <v>48.8</v>
      </c>
      <c r="J53" s="47" t="n">
        <v>53.2</v>
      </c>
      <c r="K53" s="47" t="n">
        <v>25.6</v>
      </c>
      <c r="L53" s="47" t="n">
        <v>69.09999999999999</v>
      </c>
      <c r="M53" s="47" t="n">
        <v>68.59999999999999</v>
      </c>
      <c r="N53" s="27">
        <f>BI53</f>
        <v/>
      </c>
      <c r="O53" s="28">
        <f>BM53</f>
        <v/>
      </c>
      <c r="P53" s="28">
        <f>BQ53</f>
        <v/>
      </c>
      <c r="R53" s="47" t="n">
        <v>17.1</v>
      </c>
      <c r="S53" s="47" t="n">
        <v>19</v>
      </c>
      <c r="T53" s="47" t="n">
        <v>15.7</v>
      </c>
      <c r="U53" s="47" t="n">
        <v>16.9</v>
      </c>
      <c r="V53" s="47" t="n">
        <v>38.8</v>
      </c>
      <c r="W53" s="47" t="n">
        <v>36.6</v>
      </c>
      <c r="X53" s="47" t="n">
        <v>20.8</v>
      </c>
      <c r="Y53" s="47" t="n">
        <v>25.3</v>
      </c>
      <c r="Z53" s="47" t="n">
        <v>23.4</v>
      </c>
      <c r="AA53" s="47" t="n">
        <v>23.9</v>
      </c>
      <c r="AB53" s="47" t="n">
        <v>26.3</v>
      </c>
      <c r="AC53" s="47" t="n">
        <v>34.4</v>
      </c>
      <c r="AD53" s="47" t="n">
        <v>30.6</v>
      </c>
      <c r="AE53" s="47" t="n">
        <v>40.2</v>
      </c>
      <c r="AF53" s="47" t="n">
        <v>32.3</v>
      </c>
      <c r="AG53" s="47" t="n">
        <v>37</v>
      </c>
      <c r="AH53" s="47" t="n">
        <v>39.6</v>
      </c>
      <c r="AI53" s="47" t="n">
        <v>50</v>
      </c>
      <c r="AJ53" s="47" t="n">
        <v>50.9</v>
      </c>
      <c r="AK53" s="47" t="n">
        <v>27</v>
      </c>
      <c r="AL53" s="47" t="n">
        <v>36.4</v>
      </c>
      <c r="AM53" s="47" t="n">
        <v>52.4</v>
      </c>
      <c r="AN53" s="47" t="n">
        <v>57.9</v>
      </c>
      <c r="AO53" s="47" t="n">
        <v>45.9</v>
      </c>
      <c r="AP53" s="47" t="n">
        <v>50.1</v>
      </c>
      <c r="AQ53" s="47" t="n">
        <v>57.5</v>
      </c>
      <c r="AR53" s="47" t="n">
        <v>69.90000000000001</v>
      </c>
      <c r="AS53" s="47" t="n">
        <v>49.6</v>
      </c>
      <c r="AT53" s="47" t="n">
        <v>45.9</v>
      </c>
      <c r="AU53" s="47" t="n">
        <v>51.5</v>
      </c>
      <c r="AV53" s="47" t="n">
        <v>66.8</v>
      </c>
      <c r="AW53" s="47" t="n">
        <v>34.9</v>
      </c>
      <c r="AX53" s="47" t="n">
        <v>64.09999999999999</v>
      </c>
      <c r="AY53" s="47" t="n">
        <v>77.59999999999999</v>
      </c>
      <c r="AZ53" s="47" t="n">
        <v>75.3</v>
      </c>
      <c r="BA53" s="47" t="n">
        <v>70.5</v>
      </c>
      <c r="BB53" s="47" t="n">
        <v>39.7</v>
      </c>
      <c r="BC53" s="47" t="n">
        <v>51.7</v>
      </c>
      <c r="BD53" s="47" t="n">
        <v>52.4</v>
      </c>
      <c r="BE53" s="47" t="n">
        <v>60.3</v>
      </c>
      <c r="BF53" s="47" t="n">
        <v>51.3</v>
      </c>
      <c r="BG53" s="47" t="n">
        <v>51.6</v>
      </c>
      <c r="BH53" s="29" t="n">
        <v>52</v>
      </c>
      <c r="BI53" s="29" t="n">
        <v>52</v>
      </c>
      <c r="BJ53" s="29" t="n">
        <v>52</v>
      </c>
      <c r="BK53" s="29" t="n">
        <v>53</v>
      </c>
      <c r="BL53" s="29" t="n">
        <v>53</v>
      </c>
      <c r="BM53" s="29" t="n">
        <v>53</v>
      </c>
      <c r="BN53" s="29" t="n">
        <v>54</v>
      </c>
      <c r="BO53" s="29" t="n">
        <v>54</v>
      </c>
      <c r="BP53" s="29" t="n">
        <v>54</v>
      </c>
      <c r="BQ53" s="29" t="n">
        <v>54</v>
      </c>
      <c r="BR53" s="30" t="inlineStr">
        <is>
          <t>应付天数。预测维持~52–54天。</t>
        </is>
      </c>
    </row>
    <row r="54">
      <c r="A54" s="4" t="inlineStr">
        <is>
          <t>CF</t>
        </is>
      </c>
      <c r="B54" s="7" t="inlineStr">
        <is>
          <t>Capex</t>
        </is>
      </c>
      <c r="C54" s="4" t="inlineStr">
        <is>
          <t>$000</t>
        </is>
      </c>
      <c r="D54" s="35" t="n">
        <v>8512</v>
      </c>
      <c r="E54" s="35" t="n">
        <v>7468</v>
      </c>
      <c r="F54" s="35" t="n">
        <v>7825</v>
      </c>
      <c r="G54" s="35" t="n">
        <v>6887</v>
      </c>
      <c r="H54" s="35" t="n">
        <v>12487</v>
      </c>
      <c r="I54" s="35" t="n">
        <v>39176</v>
      </c>
      <c r="J54" s="35" t="n">
        <v>41253</v>
      </c>
      <c r="K54" s="35" t="n">
        <v>13454</v>
      </c>
      <c r="L54" s="35" t="n">
        <v>17680</v>
      </c>
      <c r="M54" s="35" t="n">
        <v>12598</v>
      </c>
      <c r="N54" s="36">
        <f>BF54+BG54+BH54+BI54</f>
        <v/>
      </c>
      <c r="O54" s="37">
        <f>BJ54+BK54+BL54+BM54</f>
        <v/>
      </c>
      <c r="P54" s="37">
        <f>BN54+BO54+BP54+BQ54</f>
        <v/>
      </c>
      <c r="R54" s="35" t="n">
        <v>2128</v>
      </c>
      <c r="S54" s="35" t="n">
        <v>2128</v>
      </c>
      <c r="T54" s="35" t="n">
        <v>2128</v>
      </c>
      <c r="U54" s="35" t="n">
        <v>2128</v>
      </c>
      <c r="V54" s="35" t="n">
        <v>1867</v>
      </c>
      <c r="W54" s="35" t="n">
        <v>1867</v>
      </c>
      <c r="X54" s="35" t="n">
        <v>1867</v>
      </c>
      <c r="Y54" s="35" t="n">
        <v>1867</v>
      </c>
      <c r="Z54" s="35" t="n">
        <v>1956</v>
      </c>
      <c r="AA54" s="35" t="n">
        <v>1956</v>
      </c>
      <c r="AB54" s="35" t="n">
        <v>1956</v>
      </c>
      <c r="AC54" s="35" t="n">
        <v>1956</v>
      </c>
      <c r="AD54" s="35" t="n">
        <v>1722</v>
      </c>
      <c r="AE54" s="35" t="n">
        <v>1722</v>
      </c>
      <c r="AF54" s="35" t="n">
        <v>1722</v>
      </c>
      <c r="AG54" s="35" t="n">
        <v>1722</v>
      </c>
      <c r="AH54" s="35" t="n">
        <v>3122</v>
      </c>
      <c r="AI54" s="35" t="n">
        <v>3122</v>
      </c>
      <c r="AJ54" s="35" t="n">
        <v>3122</v>
      </c>
      <c r="AK54" s="35" t="n">
        <v>3122</v>
      </c>
      <c r="AL54" s="35" t="n">
        <v>9794</v>
      </c>
      <c r="AM54" s="35" t="n">
        <v>9794</v>
      </c>
      <c r="AN54" s="35" t="n">
        <v>9794</v>
      </c>
      <c r="AO54" s="35" t="n">
        <v>9794</v>
      </c>
      <c r="AP54" s="35" t="n">
        <v>10313</v>
      </c>
      <c r="AQ54" s="35" t="n">
        <v>10313</v>
      </c>
      <c r="AR54" s="35" t="n">
        <v>10313</v>
      </c>
      <c r="AS54" s="35" t="n">
        <v>10313</v>
      </c>
      <c r="AT54" s="35" t="n">
        <v>3364</v>
      </c>
      <c r="AU54" s="35" t="n">
        <v>3364</v>
      </c>
      <c r="AV54" s="35" t="n">
        <v>3364</v>
      </c>
      <c r="AW54" s="35" t="n">
        <v>3364</v>
      </c>
      <c r="AX54" s="35" t="n">
        <v>4420</v>
      </c>
      <c r="AY54" s="35" t="n">
        <v>4420</v>
      </c>
      <c r="AZ54" s="35" t="n">
        <v>4420</v>
      </c>
      <c r="BA54" s="35" t="n">
        <v>4420</v>
      </c>
      <c r="BB54" s="35" t="n">
        <v>3150</v>
      </c>
      <c r="BC54" s="35" t="n">
        <v>3150</v>
      </c>
      <c r="BD54" s="35" t="n">
        <v>3150</v>
      </c>
      <c r="BE54" s="35" t="n">
        <v>3150</v>
      </c>
      <c r="BF54" s="35" t="n">
        <v>1384</v>
      </c>
      <c r="BG54" s="35" t="n">
        <v>2338</v>
      </c>
      <c r="BH54" s="43" t="n">
        <v>3500</v>
      </c>
      <c r="BI54" s="43" t="n">
        <v>3800</v>
      </c>
      <c r="BJ54" s="43" t="n">
        <v>4000</v>
      </c>
      <c r="BK54" s="43" t="n">
        <v>4200</v>
      </c>
      <c r="BL54" s="43" t="n">
        <v>4500</v>
      </c>
      <c r="BM54" s="43" t="n">
        <v>4500</v>
      </c>
      <c r="BN54" s="43" t="n">
        <v>4800</v>
      </c>
      <c r="BO54" s="43" t="n">
        <v>5000</v>
      </c>
      <c r="BP54" s="43" t="n">
        <v>5000</v>
      </c>
      <c r="BQ54" s="43" t="n">
        <v>5200</v>
      </c>
      <c r="BR54" s="30" t="inlineStr">
        <is>
          <t>Fabless资本开支低。FY25 $12.6m；Q2'26 $2.3m。预测$3.5–5.2m/季。</t>
        </is>
      </c>
    </row>
    <row r="55">
      <c r="A55" s="4" t="inlineStr">
        <is>
          <t>CF</t>
        </is>
      </c>
      <c r="B55" s="7" t="inlineStr">
        <is>
          <t>D&amp;A — PPE</t>
        </is>
      </c>
      <c r="C55" s="4" t="inlineStr">
        <is>
          <t>$000</t>
        </is>
      </c>
      <c r="D55" s="35" t="n">
        <v>9346</v>
      </c>
      <c r="E55" s="35" t="n">
        <v>23358</v>
      </c>
      <c r="F55" s="35" t="n">
        <v>27659</v>
      </c>
      <c r="G55" s="35" t="n">
        <v>23240</v>
      </c>
      <c r="H55" s="35" t="n">
        <v>26780</v>
      </c>
      <c r="I55" s="35" t="n">
        <v>32127</v>
      </c>
      <c r="J55" s="35" t="n">
        <v>28256</v>
      </c>
      <c r="K55" s="35" t="n">
        <v>25031</v>
      </c>
      <c r="L55" s="35" t="n">
        <v>18949</v>
      </c>
      <c r="M55" s="35" t="n">
        <v>15397</v>
      </c>
      <c r="N55" s="36">
        <f>BF55+BG55+BH55+BI55</f>
        <v/>
      </c>
      <c r="O55" s="37">
        <f>BJ55+BK55+BL55+BM55</f>
        <v/>
      </c>
      <c r="P55" s="37">
        <f>BN55+BO55+BP55+BQ55</f>
        <v/>
      </c>
      <c r="R55" s="35" t="n">
        <v>2337</v>
      </c>
      <c r="S55" s="35" t="n">
        <v>2337</v>
      </c>
      <c r="T55" s="35" t="n">
        <v>2337</v>
      </c>
      <c r="U55" s="35" t="n">
        <v>2337</v>
      </c>
      <c r="V55" s="35" t="n">
        <v>5840</v>
      </c>
      <c r="W55" s="35" t="n">
        <v>5840</v>
      </c>
      <c r="X55" s="35" t="n">
        <v>5840</v>
      </c>
      <c r="Y55" s="35" t="n">
        <v>5840</v>
      </c>
      <c r="Z55" s="35" t="n">
        <v>6915</v>
      </c>
      <c r="AA55" s="35" t="n">
        <v>6915</v>
      </c>
      <c r="AB55" s="35" t="n">
        <v>6915</v>
      </c>
      <c r="AC55" s="35" t="n">
        <v>6915</v>
      </c>
      <c r="AD55" s="35" t="n">
        <v>5810</v>
      </c>
      <c r="AE55" s="35" t="n">
        <v>5810</v>
      </c>
      <c r="AF55" s="35" t="n">
        <v>5810</v>
      </c>
      <c r="AG55" s="35" t="n">
        <v>5810</v>
      </c>
      <c r="AH55" s="35" t="n">
        <v>6695</v>
      </c>
      <c r="AI55" s="35" t="n">
        <v>6695</v>
      </c>
      <c r="AJ55" s="35" t="n">
        <v>6695</v>
      </c>
      <c r="AK55" s="35" t="n">
        <v>6695</v>
      </c>
      <c r="AL55" s="35" t="n">
        <v>8032</v>
      </c>
      <c r="AM55" s="35" t="n">
        <v>8032</v>
      </c>
      <c r="AN55" s="35" t="n">
        <v>8032</v>
      </c>
      <c r="AO55" s="35" t="n">
        <v>8032</v>
      </c>
      <c r="AP55" s="35" t="n">
        <v>7064</v>
      </c>
      <c r="AQ55" s="35" t="n">
        <v>7064</v>
      </c>
      <c r="AR55" s="35" t="n">
        <v>7064</v>
      </c>
      <c r="AS55" s="35" t="n">
        <v>7064</v>
      </c>
      <c r="AT55" s="35" t="n">
        <v>6258</v>
      </c>
      <c r="AU55" s="35" t="n">
        <v>6258</v>
      </c>
      <c r="AV55" s="35" t="n">
        <v>6258</v>
      </c>
      <c r="AW55" s="35" t="n">
        <v>6258</v>
      </c>
      <c r="AX55" s="35" t="n">
        <v>4737</v>
      </c>
      <c r="AY55" s="35" t="n">
        <v>4737</v>
      </c>
      <c r="AZ55" s="35" t="n">
        <v>4737</v>
      </c>
      <c r="BA55" s="35" t="n">
        <v>4737</v>
      </c>
      <c r="BB55" s="35" t="n">
        <v>3849</v>
      </c>
      <c r="BC55" s="35" t="n">
        <v>3849</v>
      </c>
      <c r="BD55" s="35" t="n">
        <v>3849</v>
      </c>
      <c r="BE55" s="35" t="n">
        <v>3849</v>
      </c>
      <c r="BF55" s="35" t="n">
        <v>3500</v>
      </c>
      <c r="BG55" s="35" t="n">
        <v>3500</v>
      </c>
      <c r="BH55" s="43" t="n">
        <v>3500</v>
      </c>
      <c r="BI55" s="43" t="n">
        <v>3400</v>
      </c>
      <c r="BJ55" s="43" t="n">
        <v>3300</v>
      </c>
      <c r="BK55" s="43" t="n">
        <v>3200</v>
      </c>
      <c r="BL55" s="43" t="n">
        <v>3100</v>
      </c>
      <c r="BM55" s="43" t="n">
        <v>3000</v>
      </c>
      <c r="BN55" s="43" t="n">
        <v>3000</v>
      </c>
      <c r="BO55" s="43" t="n">
        <v>3000</v>
      </c>
      <c r="BP55" s="43" t="n">
        <v>2900</v>
      </c>
      <c r="BQ55" s="43" t="n">
        <v>2900</v>
      </c>
      <c r="BR55" s="30" t="inlineStr">
        <is>
          <t>PPE折旧。预测~$2.9–3.5m/季。PPE=上期+Capex−本项。</t>
        </is>
      </c>
    </row>
    <row r="56">
      <c r="A56" s="4" t="inlineStr">
        <is>
          <t>CF</t>
        </is>
      </c>
      <c r="B56" s="7" t="inlineStr">
        <is>
          <t>D&amp;A — intangibles</t>
        </is>
      </c>
      <c r="C56" s="4" t="inlineStr">
        <is>
          <t>$000</t>
        </is>
      </c>
      <c r="D56" s="35" t="n">
        <v>17357</v>
      </c>
      <c r="E56" s="35" t="n">
        <v>43380</v>
      </c>
      <c r="F56" s="35" t="n">
        <v>51368</v>
      </c>
      <c r="G56" s="35" t="n">
        <v>43161</v>
      </c>
      <c r="H56" s="35" t="n">
        <v>49733</v>
      </c>
      <c r="I56" s="35" t="n">
        <v>59665</v>
      </c>
      <c r="J56" s="35" t="n">
        <v>52475</v>
      </c>
      <c r="K56" s="35" t="n">
        <v>46485</v>
      </c>
      <c r="L56" s="35" t="n">
        <v>35191</v>
      </c>
      <c r="M56" s="35" t="n">
        <v>28595</v>
      </c>
      <c r="N56" s="36">
        <f>BF56+BG56+BH56+BI56</f>
        <v/>
      </c>
      <c r="O56" s="37">
        <f>BJ56+BK56+BL56+BM56</f>
        <v/>
      </c>
      <c r="P56" s="37">
        <f>BN56+BO56+BP56+BQ56</f>
        <v/>
      </c>
      <c r="R56" s="35" t="n">
        <v>4339</v>
      </c>
      <c r="S56" s="35" t="n">
        <v>4339</v>
      </c>
      <c r="T56" s="35" t="n">
        <v>4339</v>
      </c>
      <c r="U56" s="35" t="n">
        <v>4339</v>
      </c>
      <c r="V56" s="35" t="n">
        <v>10845</v>
      </c>
      <c r="W56" s="35" t="n">
        <v>10845</v>
      </c>
      <c r="X56" s="35" t="n">
        <v>10845</v>
      </c>
      <c r="Y56" s="35" t="n">
        <v>10845</v>
      </c>
      <c r="Z56" s="35" t="n">
        <v>12842</v>
      </c>
      <c r="AA56" s="35" t="n">
        <v>12842</v>
      </c>
      <c r="AB56" s="35" t="n">
        <v>12842</v>
      </c>
      <c r="AC56" s="35" t="n">
        <v>12842</v>
      </c>
      <c r="AD56" s="35" t="n">
        <v>10790</v>
      </c>
      <c r="AE56" s="35" t="n">
        <v>10790</v>
      </c>
      <c r="AF56" s="35" t="n">
        <v>10790</v>
      </c>
      <c r="AG56" s="35" t="n">
        <v>10790</v>
      </c>
      <c r="AH56" s="35" t="n">
        <v>12433</v>
      </c>
      <c r="AI56" s="35" t="n">
        <v>12433</v>
      </c>
      <c r="AJ56" s="35" t="n">
        <v>12433</v>
      </c>
      <c r="AK56" s="35" t="n">
        <v>12433</v>
      </c>
      <c r="AL56" s="35" t="n">
        <v>14916</v>
      </c>
      <c r="AM56" s="35" t="n">
        <v>14916</v>
      </c>
      <c r="AN56" s="35" t="n">
        <v>14916</v>
      </c>
      <c r="AO56" s="35" t="n">
        <v>14916</v>
      </c>
      <c r="AP56" s="35" t="n">
        <v>13119</v>
      </c>
      <c r="AQ56" s="35" t="n">
        <v>13119</v>
      </c>
      <c r="AR56" s="35" t="n">
        <v>13119</v>
      </c>
      <c r="AS56" s="35" t="n">
        <v>13119</v>
      </c>
      <c r="AT56" s="35" t="n">
        <v>11621</v>
      </c>
      <c r="AU56" s="35" t="n">
        <v>11621</v>
      </c>
      <c r="AV56" s="35" t="n">
        <v>11621</v>
      </c>
      <c r="AW56" s="35" t="n">
        <v>11621</v>
      </c>
      <c r="AX56" s="35" t="n">
        <v>8798</v>
      </c>
      <c r="AY56" s="35" t="n">
        <v>8798</v>
      </c>
      <c r="AZ56" s="35" t="n">
        <v>8798</v>
      </c>
      <c r="BA56" s="35" t="n">
        <v>8798</v>
      </c>
      <c r="BB56" s="35" t="n">
        <v>7149</v>
      </c>
      <c r="BC56" s="35" t="n">
        <v>7149</v>
      </c>
      <c r="BD56" s="35" t="n">
        <v>7149</v>
      </c>
      <c r="BE56" s="35" t="n">
        <v>7149</v>
      </c>
      <c r="BF56" s="35" t="n">
        <v>7439</v>
      </c>
      <c r="BG56" s="35" t="n">
        <v>7000</v>
      </c>
      <c r="BH56" s="43" t="n">
        <v>7000</v>
      </c>
      <c r="BI56" s="43" t="n">
        <v>6500</v>
      </c>
      <c r="BJ56" s="43" t="n">
        <v>5000</v>
      </c>
      <c r="BK56" s="43" t="n">
        <v>3500</v>
      </c>
      <c r="BL56" s="43" t="n">
        <v>2500</v>
      </c>
      <c r="BM56" s="43" t="n">
        <v>2000</v>
      </c>
      <c r="BN56" s="43" t="n">
        <v>1800</v>
      </c>
      <c r="BO56" s="43" t="n">
        <v>1600</v>
      </c>
      <c r="BP56" s="43" t="n">
        <v>1500</v>
      </c>
      <c r="BQ56" s="43" t="n">
        <v>1400</v>
      </c>
      <c r="BR56" s="30" t="inlineStr">
        <is>
          <t>收购无形资产摊销。Q1'26 D&amp;A合计$10.9m，大部分为摊销。随账面摊完而下降。IA=max(期初−本项, $20m地板)。</t>
        </is>
      </c>
    </row>
    <row r="57">
      <c r="A57" s="4" t="inlineStr">
        <is>
          <t>CF</t>
        </is>
      </c>
      <c r="B57" s="7" t="inlineStr">
        <is>
          <t>Stock-based compensation</t>
        </is>
      </c>
      <c r="C57" s="4" t="inlineStr">
        <is>
          <t>$000</t>
        </is>
      </c>
      <c r="D57" s="35" t="n">
        <v>21765</v>
      </c>
      <c r="E57" s="35" t="n">
        <v>32668</v>
      </c>
      <c r="F57" s="35" t="n">
        <v>31721</v>
      </c>
      <c r="G57" s="35" t="n">
        <v>32060</v>
      </c>
      <c r="H57" s="35" t="n">
        <v>47597</v>
      </c>
      <c r="I57" s="35" t="n">
        <v>59358</v>
      </c>
      <c r="J57" s="35" t="n">
        <v>81704</v>
      </c>
      <c r="K57" s="35" t="n">
        <v>55176</v>
      </c>
      <c r="L57" s="35" t="n">
        <v>66021</v>
      </c>
      <c r="M57" s="35" t="n">
        <v>77128</v>
      </c>
      <c r="N57" s="36">
        <f>BF57+BG57+BH57+BI57</f>
        <v/>
      </c>
      <c r="O57" s="37">
        <f>BJ57+BK57+BL57+BM57</f>
        <v/>
      </c>
      <c r="P57" s="37">
        <f>BN57+BO57+BP57+BQ57</f>
        <v/>
      </c>
      <c r="R57" s="35" t="n">
        <v>5441</v>
      </c>
      <c r="S57" s="35" t="n">
        <v>5441</v>
      </c>
      <c r="T57" s="35" t="n">
        <v>5441</v>
      </c>
      <c r="U57" s="35" t="n">
        <v>5441</v>
      </c>
      <c r="V57" s="35" t="n">
        <v>8167</v>
      </c>
      <c r="W57" s="35" t="n">
        <v>8167</v>
      </c>
      <c r="X57" s="35" t="n">
        <v>8167</v>
      </c>
      <c r="Y57" s="35" t="n">
        <v>8167</v>
      </c>
      <c r="Z57" s="35" t="n">
        <v>7930</v>
      </c>
      <c r="AA57" s="35" t="n">
        <v>7930</v>
      </c>
      <c r="AB57" s="35" t="n">
        <v>7930</v>
      </c>
      <c r="AC57" s="35" t="n">
        <v>7930</v>
      </c>
      <c r="AD57" s="35" t="n">
        <v>8015</v>
      </c>
      <c r="AE57" s="35" t="n">
        <v>8015</v>
      </c>
      <c r="AF57" s="35" t="n">
        <v>8015</v>
      </c>
      <c r="AG57" s="35" t="n">
        <v>8015</v>
      </c>
      <c r="AH57" s="35" t="n">
        <v>11899</v>
      </c>
      <c r="AI57" s="35" t="n">
        <v>11899</v>
      </c>
      <c r="AJ57" s="35" t="n">
        <v>11899</v>
      </c>
      <c r="AK57" s="35" t="n">
        <v>11899</v>
      </c>
      <c r="AL57" s="35" t="n">
        <v>14840</v>
      </c>
      <c r="AM57" s="35" t="n">
        <v>14840</v>
      </c>
      <c r="AN57" s="35" t="n">
        <v>14840</v>
      </c>
      <c r="AO57" s="35" t="n">
        <v>14840</v>
      </c>
      <c r="AP57" s="35" t="n">
        <v>20426</v>
      </c>
      <c r="AQ57" s="35" t="n">
        <v>20426</v>
      </c>
      <c r="AR57" s="35" t="n">
        <v>20426</v>
      </c>
      <c r="AS57" s="35" t="n">
        <v>20426</v>
      </c>
      <c r="AT57" s="35" t="n">
        <v>13794</v>
      </c>
      <c r="AU57" s="35" t="n">
        <v>13794</v>
      </c>
      <c r="AV57" s="35" t="n">
        <v>13794</v>
      </c>
      <c r="AW57" s="35" t="n">
        <v>13794</v>
      </c>
      <c r="AX57" s="35" t="n">
        <v>16505</v>
      </c>
      <c r="AY57" s="35" t="n">
        <v>16505</v>
      </c>
      <c r="AZ57" s="35" t="n">
        <v>16505</v>
      </c>
      <c r="BA57" s="35" t="n">
        <v>16505</v>
      </c>
      <c r="BB57" s="35" t="n">
        <v>19282</v>
      </c>
      <c r="BC57" s="35" t="n">
        <v>19282</v>
      </c>
      <c r="BD57" s="35" t="n">
        <v>19282</v>
      </c>
      <c r="BE57" s="35" t="n">
        <v>19282</v>
      </c>
      <c r="BF57" s="35" t="n">
        <v>20027</v>
      </c>
      <c r="BG57" s="35" t="n">
        <v>21000</v>
      </c>
      <c r="BH57" s="43" t="n">
        <v>21000</v>
      </c>
      <c r="BI57" s="43" t="n">
        <v>21500</v>
      </c>
      <c r="BJ57" s="43" t="n">
        <v>22000</v>
      </c>
      <c r="BK57" s="43" t="n">
        <v>22500</v>
      </c>
      <c r="BL57" s="43" t="n">
        <v>23000</v>
      </c>
      <c r="BM57" s="43" t="n">
        <v>23500</v>
      </c>
      <c r="BN57" s="43" t="n">
        <v>24000</v>
      </c>
      <c r="BO57" s="43" t="n">
        <v>24500</v>
      </c>
      <c r="BP57" s="43" t="n">
        <v>25000</v>
      </c>
      <c r="BQ57" s="43" t="n">
        <v>25000</v>
      </c>
      <c r="BR57" s="30" t="inlineStr">
        <is>
          <t>股份支付。FY25 $77.1m；Q1'26 $20.0m。加回CFO并增加APIC。预测$21–25m/季。</t>
        </is>
      </c>
    </row>
    <row r="58">
      <c r="A58" s="4" t="inlineStr">
        <is>
          <t>P&amp;L</t>
        </is>
      </c>
      <c r="B58" s="7" t="inlineStr">
        <is>
          <t>Weighted-avg / ending shares (diluted used below)</t>
        </is>
      </c>
      <c r="C58" s="4" t="inlineStr">
        <is>
          <t>k shares</t>
        </is>
      </c>
      <c r="D58" s="35" t="n">
        <v>67653</v>
      </c>
      <c r="E58" s="35" t="n">
        <v>66252</v>
      </c>
      <c r="F58" s="35" t="n">
        <v>68490</v>
      </c>
      <c r="G58" s="35" t="n">
        <v>71005</v>
      </c>
      <c r="H58" s="35" t="n">
        <v>73133</v>
      </c>
      <c r="I58" s="35" t="n">
        <v>79679</v>
      </c>
      <c r="J58" s="35" t="n">
        <v>80852</v>
      </c>
      <c r="K58" s="35" t="n">
        <v>80719</v>
      </c>
      <c r="L58" s="35" t="n">
        <v>83600</v>
      </c>
      <c r="M58" s="35" t="n">
        <v>86588</v>
      </c>
      <c r="N58" s="36">
        <f>BI58</f>
        <v/>
      </c>
      <c r="O58" s="37">
        <f>BM58</f>
        <v/>
      </c>
      <c r="P58" s="37">
        <f>BQ58</f>
        <v/>
      </c>
      <c r="R58" s="35" t="n">
        <v>66643</v>
      </c>
      <c r="S58" s="35" t="n">
        <v>67520</v>
      </c>
      <c r="T58" s="35" t="n">
        <v>67832</v>
      </c>
      <c r="U58" s="35" t="n">
        <v>67653</v>
      </c>
      <c r="V58" s="35" t="n">
        <v>69149</v>
      </c>
      <c r="W58" s="35" t="n">
        <v>69645</v>
      </c>
      <c r="X58" s="35" t="n">
        <v>66712</v>
      </c>
      <c r="Y58" s="35" t="n">
        <v>66252</v>
      </c>
      <c r="Z58" s="35" t="n">
        <v>70440</v>
      </c>
      <c r="AA58" s="35" t="n">
        <v>68335</v>
      </c>
      <c r="AB58" s="35" t="n">
        <v>68742</v>
      </c>
      <c r="AC58" s="35" t="n">
        <v>68490</v>
      </c>
      <c r="AD58" s="35" t="n">
        <v>69968</v>
      </c>
      <c r="AE58" s="35" t="n">
        <v>70917</v>
      </c>
      <c r="AF58" s="35" t="n">
        <v>71366</v>
      </c>
      <c r="AG58" s="35" t="n">
        <v>71005</v>
      </c>
      <c r="AH58" s="35" t="n">
        <v>72039</v>
      </c>
      <c r="AI58" s="35" t="n">
        <v>72740</v>
      </c>
      <c r="AJ58" s="35" t="n">
        <v>73402</v>
      </c>
      <c r="AK58" s="35" t="n">
        <v>73133</v>
      </c>
      <c r="AL58" s="35" t="n">
        <v>78283</v>
      </c>
      <c r="AM58" s="35" t="n">
        <v>79026</v>
      </c>
      <c r="AN58" s="35" t="n">
        <v>79815</v>
      </c>
      <c r="AO58" s="35" t="n">
        <v>79679</v>
      </c>
      <c r="AP58" s="35" t="n">
        <v>80641</v>
      </c>
      <c r="AQ58" s="35" t="n">
        <v>80279</v>
      </c>
      <c r="AR58" s="35" t="n">
        <v>80060</v>
      </c>
      <c r="AS58" s="35" t="n">
        <v>80852</v>
      </c>
      <c r="AT58" s="35" t="n">
        <v>81338</v>
      </c>
      <c r="AU58" s="35" t="n">
        <v>80446</v>
      </c>
      <c r="AV58" s="35" t="n">
        <v>81249</v>
      </c>
      <c r="AW58" s="35" t="n">
        <v>80719</v>
      </c>
      <c r="AX58" s="35" t="n">
        <v>82349</v>
      </c>
      <c r="AY58" s="35" t="n">
        <v>83477</v>
      </c>
      <c r="AZ58" s="35" t="n">
        <v>84074</v>
      </c>
      <c r="BA58" s="35" t="n">
        <v>83600</v>
      </c>
      <c r="BB58" s="35" t="n">
        <v>85271</v>
      </c>
      <c r="BC58" s="35" t="n">
        <v>86626</v>
      </c>
      <c r="BD58" s="35" t="n">
        <v>87186</v>
      </c>
      <c r="BE58" s="35" t="n">
        <v>86588</v>
      </c>
      <c r="BF58" s="35" t="n">
        <v>87595</v>
      </c>
      <c r="BG58" s="35" t="n">
        <v>97333</v>
      </c>
      <c r="BH58" s="43" t="n">
        <v>91000</v>
      </c>
      <c r="BI58" s="43" t="n">
        <v>91500</v>
      </c>
      <c r="BJ58" s="43" t="n">
        <v>92000</v>
      </c>
      <c r="BK58" s="43" t="n">
        <v>92500</v>
      </c>
      <c r="BL58" s="43" t="n">
        <v>93000</v>
      </c>
      <c r="BM58" s="43" t="n">
        <v>93500</v>
      </c>
      <c r="BN58" s="43" t="n">
        <v>94000</v>
      </c>
      <c r="BO58" s="43" t="n">
        <v>94500</v>
      </c>
      <c r="BP58" s="43" t="n">
        <v>95000</v>
      </c>
      <c r="BQ58" s="43" t="n">
        <v>95500</v>
      </c>
      <c r="BR58" s="30" t="inlineStr">
        <is>
          <t>Q2'26基本90.0m / 稀释97.3m；Q3指引稀释99m。</t>
        </is>
      </c>
    </row>
    <row r="60">
      <c r="A60" s="48" t="inlineStr">
        <is>
          <t>III.  CONSOLIDATED P&amp;L  （利润表）</t>
        </is>
      </c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8" t="n"/>
      <c r="AL60" s="48" t="n"/>
      <c r="AM60" s="48" t="n"/>
      <c r="AN60" s="48" t="n"/>
      <c r="AO60" s="48" t="n"/>
      <c r="AP60" s="48" t="n"/>
      <c r="AQ60" s="48" t="n"/>
      <c r="AR60" s="48" t="n"/>
      <c r="AS60" s="48" t="n"/>
      <c r="AT60" s="48" t="n"/>
      <c r="AU60" s="48" t="n"/>
      <c r="AV60" s="48" t="n"/>
      <c r="AW60" s="48" t="n"/>
      <c r="AX60" s="48" t="n"/>
      <c r="AY60" s="48" t="n"/>
      <c r="AZ60" s="48" t="n"/>
      <c r="BA60" s="48" t="n"/>
      <c r="BB60" s="48" t="n"/>
      <c r="BC60" s="48" t="n"/>
      <c r="BD60" s="48" t="n"/>
      <c r="BE60" s="48" t="n"/>
      <c r="BF60" s="48" t="n"/>
      <c r="BG60" s="48" t="n"/>
      <c r="BH60" s="48" t="n"/>
      <c r="BI60" s="48" t="n"/>
      <c r="BJ60" s="48" t="n"/>
      <c r="BK60" s="48" t="n"/>
      <c r="BL60" s="48" t="n"/>
      <c r="BM60" s="48" t="n"/>
      <c r="BN60" s="48" t="n"/>
      <c r="BO60" s="48" t="n"/>
      <c r="BP60" s="48" t="n"/>
      <c r="BQ60" s="48" t="n"/>
      <c r="BR60" s="48" t="n"/>
    </row>
    <row r="61">
      <c r="A61" s="4" t="inlineStr">
        <is>
          <t>P&amp;L</t>
        </is>
      </c>
      <c r="B61" s="7" t="inlineStr">
        <is>
          <t>Revenue</t>
        </is>
      </c>
      <c r="C61" s="4" t="inlineStr">
        <is>
          <t>$000</t>
        </is>
      </c>
      <c r="D61" s="49" t="n">
        <v>387832</v>
      </c>
      <c r="E61" s="49" t="n">
        <v>420318</v>
      </c>
      <c r="F61" s="49" t="n">
        <v>384997</v>
      </c>
      <c r="G61" s="49" t="n">
        <v>317180</v>
      </c>
      <c r="H61" s="49" t="n">
        <v>478596</v>
      </c>
      <c r="I61" s="49" t="n">
        <v>892398</v>
      </c>
      <c r="J61" s="49" t="n">
        <v>1120252</v>
      </c>
      <c r="K61" s="49" t="n">
        <v>693263</v>
      </c>
      <c r="L61" s="49" t="n">
        <v>360528</v>
      </c>
      <c r="M61" s="49" t="n">
        <v>467641</v>
      </c>
      <c r="N61" s="42">
        <f>BF61+BG61+BH61+BI61</f>
        <v/>
      </c>
      <c r="O61" s="42">
        <f>BJ61+BK61+BL61+BM61</f>
        <v/>
      </c>
      <c r="P61" s="42">
        <f>BN61+BO61+BP61+BQ61</f>
        <v/>
      </c>
      <c r="R61" s="49" t="n">
        <v>102685</v>
      </c>
      <c r="S61" s="49" t="n">
        <v>101687</v>
      </c>
      <c r="T61" s="49" t="n">
        <v>96324</v>
      </c>
      <c r="U61" s="49" t="n">
        <v>87136</v>
      </c>
      <c r="V61" s="49" t="n">
        <v>88841</v>
      </c>
      <c r="W61" s="49" t="n">
        <v>104175</v>
      </c>
      <c r="X61" s="49" t="n">
        <v>113581</v>
      </c>
      <c r="Y61" s="49" t="n">
        <v>113721</v>
      </c>
      <c r="Z61" s="49" t="n">
        <v>110827</v>
      </c>
      <c r="AA61" s="49" t="n">
        <v>101533</v>
      </c>
      <c r="AB61" s="49" t="n">
        <v>85010</v>
      </c>
      <c r="AC61" s="49" t="n">
        <v>87627</v>
      </c>
      <c r="AD61" s="49" t="n">
        <v>84635</v>
      </c>
      <c r="AE61" s="49" t="n">
        <v>82507</v>
      </c>
      <c r="AF61" s="49" t="n">
        <v>80020</v>
      </c>
      <c r="AG61" s="49" t="n">
        <v>70018</v>
      </c>
      <c r="AH61" s="49" t="n">
        <v>62027</v>
      </c>
      <c r="AI61" s="49" t="n">
        <v>65220</v>
      </c>
      <c r="AJ61" s="49" t="n">
        <v>156633</v>
      </c>
      <c r="AK61" s="49" t="n">
        <v>194716</v>
      </c>
      <c r="AL61" s="49" t="n">
        <v>209359</v>
      </c>
      <c r="AM61" s="49" t="n">
        <v>205376</v>
      </c>
      <c r="AN61" s="49" t="n">
        <v>229774</v>
      </c>
      <c r="AO61" s="49" t="n">
        <v>247889</v>
      </c>
      <c r="AP61" s="49" t="n">
        <v>263927</v>
      </c>
      <c r="AQ61" s="49" t="n">
        <v>280009</v>
      </c>
      <c r="AR61" s="49" t="n">
        <v>285730</v>
      </c>
      <c r="AS61" s="49" t="n">
        <v>290586</v>
      </c>
      <c r="AT61" s="49" t="n">
        <v>248442</v>
      </c>
      <c r="AU61" s="49" t="n">
        <v>183938</v>
      </c>
      <c r="AV61" s="49" t="n">
        <v>135530</v>
      </c>
      <c r="AW61" s="49" t="n">
        <v>125353</v>
      </c>
      <c r="AX61" s="49" t="n">
        <v>95269</v>
      </c>
      <c r="AY61" s="49" t="n">
        <v>91990</v>
      </c>
      <c r="AZ61" s="49" t="n">
        <v>81102</v>
      </c>
      <c r="BA61" s="49" t="n">
        <v>92167</v>
      </c>
      <c r="BB61" s="49" t="n">
        <v>95933</v>
      </c>
      <c r="BC61" s="49" t="n">
        <v>108813</v>
      </c>
      <c r="BD61" s="49" t="n">
        <v>126459</v>
      </c>
      <c r="BE61" s="49" t="n">
        <v>136436</v>
      </c>
      <c r="BF61" s="49" t="n">
        <v>137188</v>
      </c>
      <c r="BG61" s="49" t="n">
        <v>168847</v>
      </c>
      <c r="BH61" s="42">
        <f>BH36</f>
        <v/>
      </c>
      <c r="BI61" s="42">
        <f>BI36</f>
        <v/>
      </c>
      <c r="BJ61" s="42">
        <f>BJ36</f>
        <v/>
      </c>
      <c r="BK61" s="42">
        <f>BK36</f>
        <v/>
      </c>
      <c r="BL61" s="42">
        <f>BL36</f>
        <v/>
      </c>
      <c r="BM61" s="42">
        <f>BM36</f>
        <v/>
      </c>
      <c r="BN61" s="42">
        <f>BN36</f>
        <v/>
      </c>
      <c r="BO61" s="42">
        <f>BO36</f>
        <v/>
      </c>
      <c r="BP61" s="42">
        <f>BP36</f>
        <v/>
      </c>
      <c r="BQ61" s="42">
        <f>BQ36</f>
        <v/>
      </c>
      <c r="BR61" s="30" t="inlineStr">
        <is>
          <t>营业收入。历史=10-K/10-Q；预测=驱动表Total revenue。Q3'26指引$210–220m。</t>
        </is>
      </c>
    </row>
    <row r="62">
      <c r="A62" s="4" t="inlineStr">
        <is>
          <t>P&amp;L</t>
        </is>
      </c>
      <c r="B62" s="7" t="inlineStr">
        <is>
          <t>Cost of revenue</t>
        </is>
      </c>
      <c r="C62" s="4" t="inlineStr">
        <is>
          <t>$000</t>
        </is>
      </c>
      <c r="D62" s="35" t="n">
        <v>157842</v>
      </c>
      <c r="E62" s="35" t="n">
        <v>212355</v>
      </c>
      <c r="F62" s="35" t="n">
        <v>176223</v>
      </c>
      <c r="G62" s="35" t="n">
        <v>149495</v>
      </c>
      <c r="H62" s="35" t="n">
        <v>265798</v>
      </c>
      <c r="I62" s="35" t="n">
        <v>396566</v>
      </c>
      <c r="J62" s="35" t="n">
        <v>470483</v>
      </c>
      <c r="K62" s="35" t="n">
        <v>307600</v>
      </c>
      <c r="L62" s="35" t="n">
        <v>165746</v>
      </c>
      <c r="M62" s="35" t="n">
        <v>201827</v>
      </c>
      <c r="N62" s="36">
        <f>BF62+BG62+BH62+BI62</f>
        <v/>
      </c>
      <c r="O62" s="37">
        <f>BJ62+BK62+BL62+BM62</f>
        <v/>
      </c>
      <c r="P62" s="37">
        <f>BN62+BO62+BP62+BQ62</f>
        <v/>
      </c>
      <c r="R62" s="35" t="n">
        <v>41515</v>
      </c>
      <c r="S62" s="35" t="n">
        <v>38774</v>
      </c>
      <c r="T62" s="35" t="n">
        <v>40820</v>
      </c>
      <c r="U62" s="35" t="n">
        <v>36733</v>
      </c>
      <c r="V62" s="35" t="n">
        <v>35917</v>
      </c>
      <c r="W62" s="35" t="n">
        <v>53071</v>
      </c>
      <c r="X62" s="35" t="n">
        <v>61739</v>
      </c>
      <c r="Y62" s="35" t="n">
        <v>61628</v>
      </c>
      <c r="Z62" s="35" t="n">
        <v>48159</v>
      </c>
      <c r="AA62" s="35" t="n">
        <v>45203</v>
      </c>
      <c r="AB62" s="35" t="n">
        <v>41134</v>
      </c>
      <c r="AC62" s="35" t="n">
        <v>41727</v>
      </c>
      <c r="AD62" s="35" t="n">
        <v>39558</v>
      </c>
      <c r="AE62" s="35" t="n">
        <v>38427</v>
      </c>
      <c r="AF62" s="35" t="n">
        <v>38116</v>
      </c>
      <c r="AG62" s="35" t="n">
        <v>33394</v>
      </c>
      <c r="AH62" s="35" t="n">
        <v>31265</v>
      </c>
      <c r="AI62" s="35" t="n">
        <v>32477</v>
      </c>
      <c r="AJ62" s="35" t="n">
        <v>90427</v>
      </c>
      <c r="AK62" s="35" t="n">
        <v>111629</v>
      </c>
      <c r="AL62" s="35" t="n">
        <v>97640</v>
      </c>
      <c r="AM62" s="35" t="n">
        <v>92833</v>
      </c>
      <c r="AN62" s="35" t="n">
        <v>99981</v>
      </c>
      <c r="AO62" s="35" t="n">
        <v>106112</v>
      </c>
      <c r="AP62" s="35" t="n">
        <v>109337</v>
      </c>
      <c r="AQ62" s="35" t="n">
        <v>115658</v>
      </c>
      <c r="AR62" s="35" t="n">
        <v>118242</v>
      </c>
      <c r="AS62" s="35" t="n">
        <v>127246</v>
      </c>
      <c r="AT62" s="35" t="n">
        <v>108135</v>
      </c>
      <c r="AU62" s="35" t="n">
        <v>81065</v>
      </c>
      <c r="AV62" s="35" t="n">
        <v>61586</v>
      </c>
      <c r="AW62" s="35" t="n">
        <v>56814</v>
      </c>
      <c r="AX62" s="35" t="n">
        <v>46001</v>
      </c>
      <c r="AY62" s="35" t="n">
        <v>41804</v>
      </c>
      <c r="AZ62" s="35" t="n">
        <v>37022</v>
      </c>
      <c r="BA62" s="35" t="n">
        <v>40919</v>
      </c>
      <c r="BB62" s="35" t="n">
        <v>42102</v>
      </c>
      <c r="BC62" s="35" t="n">
        <v>47288</v>
      </c>
      <c r="BD62" s="35" t="n">
        <v>54558</v>
      </c>
      <c r="BE62" s="35" t="n">
        <v>57879</v>
      </c>
      <c r="BF62" s="35" t="n">
        <v>58304</v>
      </c>
      <c r="BG62" s="35" t="n">
        <v>71184</v>
      </c>
      <c r="BH62" s="37">
        <f>BH18+BH25+BH30+(BH32+BH33+BH34+BH35)*(1-BH42)</f>
        <v/>
      </c>
      <c r="BI62" s="37">
        <f>BI18+BI25+BI30+(BI32+BI33+BI34+BI35)*(1-BI42)</f>
        <v/>
      </c>
      <c r="BJ62" s="37">
        <f>BJ18+BJ25+BJ30+(BJ32+BJ33+BJ34+BJ35)*(1-BJ42)</f>
        <v/>
      </c>
      <c r="BK62" s="37">
        <f>BK18+BK25+BK30+(BK32+BK33+BK34+BK35)*(1-BK42)</f>
        <v/>
      </c>
      <c r="BL62" s="37">
        <f>BL18+BL25+BL30+(BL32+BL33+BL34+BL35)*(1-BL42)</f>
        <v/>
      </c>
      <c r="BM62" s="37">
        <f>BM18+BM25+BM30+(BM32+BM33+BM34+BM35)*(1-BM42)</f>
        <v/>
      </c>
      <c r="BN62" s="37">
        <f>BN18+BN25+BN30+(BN32+BN33+BN34+BN35)*(1-BN42)</f>
        <v/>
      </c>
      <c r="BO62" s="37">
        <f>BO18+BO25+BO30+(BO32+BO33+BO34+BO35)*(1-BO42)</f>
        <v/>
      </c>
      <c r="BP62" s="37">
        <f>BP18+BP25+BP30+(BP32+BP33+BP34+BP35)*(1-BP42)</f>
        <v/>
      </c>
      <c r="BQ62" s="37">
        <f>BQ18+BQ25+BQ30+(BQ32+BQ33+BQ34+BQ35)*(1-BQ42)</f>
        <v/>
      </c>
      <c r="BR62" s="30" t="inlineStr">
        <is>
          <t>历史硬编码；预测=光学COGS + 非光学收入×(1−非光学GM)。</t>
        </is>
      </c>
    </row>
    <row r="63">
      <c r="A63" s="4" t="inlineStr">
        <is>
          <t>P&amp;L</t>
        </is>
      </c>
      <c r="B63" s="5" t="inlineStr">
        <is>
          <t>Gross profit</t>
        </is>
      </c>
      <c r="C63" s="4" t="inlineStr">
        <is>
          <t>$000</t>
        </is>
      </c>
      <c r="D63" s="42">
        <f>D61-D62</f>
        <v/>
      </c>
      <c r="E63" s="42">
        <f>E61-E62</f>
        <v/>
      </c>
      <c r="F63" s="42">
        <f>F61-F62</f>
        <v/>
      </c>
      <c r="G63" s="42">
        <f>G61-G62</f>
        <v/>
      </c>
      <c r="H63" s="42">
        <f>H61-H62</f>
        <v/>
      </c>
      <c r="I63" s="42">
        <f>I61-I62</f>
        <v/>
      </c>
      <c r="J63" s="42">
        <f>J61-J62</f>
        <v/>
      </c>
      <c r="K63" s="42">
        <f>K61-K62</f>
        <v/>
      </c>
      <c r="L63" s="42">
        <f>L61-L62</f>
        <v/>
      </c>
      <c r="M63" s="42">
        <f>M61-M62</f>
        <v/>
      </c>
      <c r="N63" s="42">
        <f>N61-N62</f>
        <v/>
      </c>
      <c r="O63" s="42">
        <f>O61-O62</f>
        <v/>
      </c>
      <c r="P63" s="42">
        <f>P61-P62</f>
        <v/>
      </c>
      <c r="R63" s="42">
        <f>R61-R62</f>
        <v/>
      </c>
      <c r="S63" s="42">
        <f>S61-S62</f>
        <v/>
      </c>
      <c r="T63" s="42">
        <f>T61-T62</f>
        <v/>
      </c>
      <c r="U63" s="42">
        <f>U61-U62</f>
        <v/>
      </c>
      <c r="V63" s="42">
        <f>V61-V62</f>
        <v/>
      </c>
      <c r="W63" s="42">
        <f>W61-W62</f>
        <v/>
      </c>
      <c r="X63" s="42">
        <f>X61-X62</f>
        <v/>
      </c>
      <c r="Y63" s="42">
        <f>Y61-Y62</f>
        <v/>
      </c>
      <c r="Z63" s="42">
        <f>Z61-Z62</f>
        <v/>
      </c>
      <c r="AA63" s="42">
        <f>AA61-AA62</f>
        <v/>
      </c>
      <c r="AB63" s="42">
        <f>AB61-AB62</f>
        <v/>
      </c>
      <c r="AC63" s="42">
        <f>AC61-AC62</f>
        <v/>
      </c>
      <c r="AD63" s="42">
        <f>AD61-AD62</f>
        <v/>
      </c>
      <c r="AE63" s="42">
        <f>AE61-AE62</f>
        <v/>
      </c>
      <c r="AF63" s="42">
        <f>AF61-AF62</f>
        <v/>
      </c>
      <c r="AG63" s="42">
        <f>AG61-AG62</f>
        <v/>
      </c>
      <c r="AH63" s="42">
        <f>AH61-AH62</f>
        <v/>
      </c>
      <c r="AI63" s="42">
        <f>AI61-AI62</f>
        <v/>
      </c>
      <c r="AJ63" s="42">
        <f>AJ61-AJ62</f>
        <v/>
      </c>
      <c r="AK63" s="42">
        <f>AK61-AK62</f>
        <v/>
      </c>
      <c r="AL63" s="42">
        <f>AL61-AL62</f>
        <v/>
      </c>
      <c r="AM63" s="42">
        <f>AM61-AM62</f>
        <v/>
      </c>
      <c r="AN63" s="42">
        <f>AN61-AN62</f>
        <v/>
      </c>
      <c r="AO63" s="42">
        <f>AO61-AO62</f>
        <v/>
      </c>
      <c r="AP63" s="42">
        <f>AP61-AP62</f>
        <v/>
      </c>
      <c r="AQ63" s="42">
        <f>AQ61-AQ62</f>
        <v/>
      </c>
      <c r="AR63" s="42">
        <f>AR61-AR62</f>
        <v/>
      </c>
      <c r="AS63" s="42">
        <f>AS61-AS62</f>
        <v/>
      </c>
      <c r="AT63" s="42">
        <f>AT61-AT62</f>
        <v/>
      </c>
      <c r="AU63" s="42">
        <f>AU61-AU62</f>
        <v/>
      </c>
      <c r="AV63" s="42">
        <f>AV61-AV62</f>
        <v/>
      </c>
      <c r="AW63" s="42">
        <f>AW61-AW62</f>
        <v/>
      </c>
      <c r="AX63" s="42">
        <f>AX61-AX62</f>
        <v/>
      </c>
      <c r="AY63" s="42">
        <f>AY61-AY62</f>
        <v/>
      </c>
      <c r="AZ63" s="42">
        <f>AZ61-AZ62</f>
        <v/>
      </c>
      <c r="BA63" s="42">
        <f>BA61-BA62</f>
        <v/>
      </c>
      <c r="BB63" s="42">
        <f>BB61-BB62</f>
        <v/>
      </c>
      <c r="BC63" s="42">
        <f>BC61-BC62</f>
        <v/>
      </c>
      <c r="BD63" s="42">
        <f>BD61-BD62</f>
        <v/>
      </c>
      <c r="BE63" s="42">
        <f>BE61-BE62</f>
        <v/>
      </c>
      <c r="BF63" s="42">
        <f>BF61-BF62</f>
        <v/>
      </c>
      <c r="BG63" s="42">
        <f>BG61-BG62</f>
        <v/>
      </c>
      <c r="BH63" s="42">
        <f>BH61-BH62</f>
        <v/>
      </c>
      <c r="BI63" s="42">
        <f>BI61-BI62</f>
        <v/>
      </c>
      <c r="BJ63" s="42">
        <f>BJ61-BJ62</f>
        <v/>
      </c>
      <c r="BK63" s="42">
        <f>BK61-BK62</f>
        <v/>
      </c>
      <c r="BL63" s="42">
        <f>BL61-BL62</f>
        <v/>
      </c>
      <c r="BM63" s="42">
        <f>BM61-BM62</f>
        <v/>
      </c>
      <c r="BN63" s="42">
        <f>BN61-BN62</f>
        <v/>
      </c>
      <c r="BO63" s="42">
        <f>BO61-BO62</f>
        <v/>
      </c>
      <c r="BP63" s="42">
        <f>BP61-BP62</f>
        <v/>
      </c>
      <c r="BQ63" s="42">
        <f>BQ61-BQ62</f>
        <v/>
      </c>
      <c r="BR63" s="30" t="inlineStr">
        <is>
          <t>毛利=收入−成本。</t>
        </is>
      </c>
    </row>
    <row r="64">
      <c r="A64" s="4" t="inlineStr">
        <is>
          <t>P&amp;L</t>
        </is>
      </c>
      <c r="B64" s="7" t="inlineStr">
        <is>
          <t>Gross margin</t>
        </is>
      </c>
      <c r="C64" s="4" t="inlineStr">
        <is>
          <t>%</t>
        </is>
      </c>
      <c r="D64" s="39">
        <f>IF(D61=0,0,D63/D61)</f>
        <v/>
      </c>
      <c r="E64" s="39">
        <f>IF(E61=0,0,E63/E61)</f>
        <v/>
      </c>
      <c r="F64" s="39">
        <f>IF(F61=0,0,F63/F61)</f>
        <v/>
      </c>
      <c r="G64" s="39">
        <f>IF(G61=0,0,G63/G61)</f>
        <v/>
      </c>
      <c r="H64" s="39">
        <f>IF(H61=0,0,H63/H61)</f>
        <v/>
      </c>
      <c r="I64" s="39">
        <f>IF(I61=0,0,I63/I61)</f>
        <v/>
      </c>
      <c r="J64" s="39">
        <f>IF(J61=0,0,J63/J61)</f>
        <v/>
      </c>
      <c r="K64" s="39">
        <f>IF(K61=0,0,K63/K61)</f>
        <v/>
      </c>
      <c r="L64" s="39">
        <f>IF(L61=0,0,L63/L61)</f>
        <v/>
      </c>
      <c r="M64" s="39">
        <f>IF(M61=0,0,M63/M61)</f>
        <v/>
      </c>
      <c r="N64" s="40">
        <f>IF(N61=0,0,N63/N61)</f>
        <v/>
      </c>
      <c r="O64" s="41">
        <f>IF(O61=0,0,O63/O61)</f>
        <v/>
      </c>
      <c r="P64" s="41">
        <f>IF(P61=0,0,P63/P61)</f>
        <v/>
      </c>
      <c r="R64" s="39">
        <f>IF(R61=0,0,R63/R61)</f>
        <v/>
      </c>
      <c r="S64" s="39">
        <f>IF(S61=0,0,S63/S61)</f>
        <v/>
      </c>
      <c r="T64" s="39">
        <f>IF(T61=0,0,T63/T61)</f>
        <v/>
      </c>
      <c r="U64" s="39">
        <f>IF(U61=0,0,U63/U61)</f>
        <v/>
      </c>
      <c r="V64" s="39">
        <f>IF(V61=0,0,V63/V61)</f>
        <v/>
      </c>
      <c r="W64" s="39">
        <f>IF(W61=0,0,W63/W61)</f>
        <v/>
      </c>
      <c r="X64" s="39">
        <f>IF(X61=0,0,X63/X61)</f>
        <v/>
      </c>
      <c r="Y64" s="39">
        <f>IF(Y61=0,0,Y63/Y61)</f>
        <v/>
      </c>
      <c r="Z64" s="39">
        <f>IF(Z61=0,0,Z63/Z61)</f>
        <v/>
      </c>
      <c r="AA64" s="39">
        <f>IF(AA61=0,0,AA63/AA61)</f>
        <v/>
      </c>
      <c r="AB64" s="39">
        <f>IF(AB61=0,0,AB63/AB61)</f>
        <v/>
      </c>
      <c r="AC64" s="39">
        <f>IF(AC61=0,0,AC63/AC61)</f>
        <v/>
      </c>
      <c r="AD64" s="39">
        <f>IF(AD61=0,0,AD63/AD61)</f>
        <v/>
      </c>
      <c r="AE64" s="39">
        <f>IF(AE61=0,0,AE63/AE61)</f>
        <v/>
      </c>
      <c r="AF64" s="39">
        <f>IF(AF61=0,0,AF63/AF61)</f>
        <v/>
      </c>
      <c r="AG64" s="39">
        <f>IF(AG61=0,0,AG63/AG61)</f>
        <v/>
      </c>
      <c r="AH64" s="39">
        <f>IF(AH61=0,0,AH63/AH61)</f>
        <v/>
      </c>
      <c r="AI64" s="39">
        <f>IF(AI61=0,0,AI63/AI61)</f>
        <v/>
      </c>
      <c r="AJ64" s="39">
        <f>IF(AJ61=0,0,AJ63/AJ61)</f>
        <v/>
      </c>
      <c r="AK64" s="39">
        <f>IF(AK61=0,0,AK63/AK61)</f>
        <v/>
      </c>
      <c r="AL64" s="39">
        <f>IF(AL61=0,0,AL63/AL61)</f>
        <v/>
      </c>
      <c r="AM64" s="39">
        <f>IF(AM61=0,0,AM63/AM61)</f>
        <v/>
      </c>
      <c r="AN64" s="39">
        <f>IF(AN61=0,0,AN63/AN61)</f>
        <v/>
      </c>
      <c r="AO64" s="39">
        <f>IF(AO61=0,0,AO63/AO61)</f>
        <v/>
      </c>
      <c r="AP64" s="39">
        <f>IF(AP61=0,0,AP63/AP61)</f>
        <v/>
      </c>
      <c r="AQ64" s="39">
        <f>IF(AQ61=0,0,AQ63/AQ61)</f>
        <v/>
      </c>
      <c r="AR64" s="39">
        <f>IF(AR61=0,0,AR63/AR61)</f>
        <v/>
      </c>
      <c r="AS64" s="39">
        <f>IF(AS61=0,0,AS63/AS61)</f>
        <v/>
      </c>
      <c r="AT64" s="39">
        <f>IF(AT61=0,0,AT63/AT61)</f>
        <v/>
      </c>
      <c r="AU64" s="39">
        <f>IF(AU61=0,0,AU63/AU61)</f>
        <v/>
      </c>
      <c r="AV64" s="39">
        <f>IF(AV61=0,0,AV63/AV61)</f>
        <v/>
      </c>
      <c r="AW64" s="39">
        <f>IF(AW61=0,0,AW63/AW61)</f>
        <v/>
      </c>
      <c r="AX64" s="39">
        <f>IF(AX61=0,0,AX63/AX61)</f>
        <v/>
      </c>
      <c r="AY64" s="39">
        <f>IF(AY61=0,0,AY63/AY61)</f>
        <v/>
      </c>
      <c r="AZ64" s="39">
        <f>IF(AZ61=0,0,AZ63/AZ61)</f>
        <v/>
      </c>
      <c r="BA64" s="39">
        <f>IF(BA61=0,0,BA63/BA61)</f>
        <v/>
      </c>
      <c r="BB64" s="39">
        <f>IF(BB61=0,0,BB63/BB61)</f>
        <v/>
      </c>
      <c r="BC64" s="39">
        <f>IF(BC61=0,0,BC63/BC61)</f>
        <v/>
      </c>
      <c r="BD64" s="39">
        <f>IF(BD61=0,0,BD63/BD61)</f>
        <v/>
      </c>
      <c r="BE64" s="39">
        <f>IF(BE61=0,0,BE63/BE61)</f>
        <v/>
      </c>
      <c r="BF64" s="39">
        <f>IF(BF61=0,0,BF63/BF61)</f>
        <v/>
      </c>
      <c r="BG64" s="39">
        <f>IF(BG61=0,0,BG63/BG61)</f>
        <v/>
      </c>
      <c r="BH64" s="41">
        <f>IF(BH61=0,0,BH63/BH61)</f>
        <v/>
      </c>
      <c r="BI64" s="41">
        <f>IF(BI61=0,0,BI63/BI61)</f>
        <v/>
      </c>
      <c r="BJ64" s="41">
        <f>IF(BJ61=0,0,BJ63/BJ61)</f>
        <v/>
      </c>
      <c r="BK64" s="41">
        <f>IF(BK61=0,0,BK63/BK61)</f>
        <v/>
      </c>
      <c r="BL64" s="41">
        <f>IF(BL61=0,0,BL63/BL61)</f>
        <v/>
      </c>
      <c r="BM64" s="41">
        <f>IF(BM61=0,0,BM63/BM61)</f>
        <v/>
      </c>
      <c r="BN64" s="41">
        <f>IF(BN61=0,0,BN63/BN61)</f>
        <v/>
      </c>
      <c r="BO64" s="41">
        <f>IF(BO61=0,0,BO63/BO61)</f>
        <v/>
      </c>
      <c r="BP64" s="41">
        <f>IF(BP61=0,0,BP63/BP61)</f>
        <v/>
      </c>
      <c r="BQ64" s="41">
        <f>IF(BQ61=0,0,BQ63/BQ61)</f>
        <v/>
      </c>
      <c r="BR64" s="30" t="inlineStr">
        <is>
          <t>毛利率。Q2'26 57.8%。</t>
        </is>
      </c>
    </row>
    <row r="65">
      <c r="A65" s="4" t="inlineStr">
        <is>
          <t>P&amp;L</t>
        </is>
      </c>
      <c r="B65" s="7" t="inlineStr">
        <is>
          <t>Research &amp; development</t>
        </is>
      </c>
      <c r="C65" s="4" t="inlineStr">
        <is>
          <t>$000</t>
        </is>
      </c>
      <c r="D65" s="35" t="n">
        <v>97745</v>
      </c>
      <c r="E65" s="35" t="n">
        <v>112279</v>
      </c>
      <c r="F65" s="35" t="n">
        <v>120046</v>
      </c>
      <c r="G65" s="35" t="n">
        <v>98344</v>
      </c>
      <c r="H65" s="35" t="n">
        <v>179993</v>
      </c>
      <c r="I65" s="35" t="n">
        <v>278440</v>
      </c>
      <c r="J65" s="35" t="n">
        <v>296442</v>
      </c>
      <c r="K65" s="35" t="n">
        <v>269504</v>
      </c>
      <c r="L65" s="35" t="n">
        <v>225189</v>
      </c>
      <c r="M65" s="35" t="n">
        <v>208599</v>
      </c>
      <c r="N65" s="36">
        <f>BF65+BG65+BH65+BI65</f>
        <v/>
      </c>
      <c r="O65" s="37">
        <f>BJ65+BK65+BL65+BM65</f>
        <v/>
      </c>
      <c r="P65" s="37">
        <f>BN65+BO65+BP65+BQ65</f>
        <v/>
      </c>
      <c r="R65" s="35" t="n">
        <v>23752</v>
      </c>
      <c r="S65" s="35" t="n">
        <v>24037</v>
      </c>
      <c r="T65" s="35" t="n">
        <v>25921</v>
      </c>
      <c r="U65" s="35" t="n">
        <v>24035</v>
      </c>
      <c r="V65" s="35" t="n">
        <v>23878</v>
      </c>
      <c r="W65" s="35" t="n">
        <v>29015</v>
      </c>
      <c r="X65" s="35" t="n">
        <v>29270</v>
      </c>
      <c r="Y65" s="35" t="n">
        <v>30116</v>
      </c>
      <c r="Z65" s="35" t="n">
        <v>31121</v>
      </c>
      <c r="AA65" s="35" t="n">
        <v>30211</v>
      </c>
      <c r="AB65" s="35" t="n">
        <v>29047</v>
      </c>
      <c r="AC65" s="35" t="n">
        <v>29667</v>
      </c>
      <c r="AD65" s="35" t="n">
        <v>27399</v>
      </c>
      <c r="AE65" s="35" t="n">
        <v>24304</v>
      </c>
      <c r="AF65" s="35" t="n">
        <v>23174</v>
      </c>
      <c r="AG65" s="35" t="n">
        <v>23467</v>
      </c>
      <c r="AH65" s="35" t="n">
        <v>25689</v>
      </c>
      <c r="AI65" s="35" t="n">
        <v>27984</v>
      </c>
      <c r="AJ65" s="35" t="n">
        <v>55816</v>
      </c>
      <c r="AK65" s="35" t="n">
        <v>70504</v>
      </c>
      <c r="AL65" s="35" t="n">
        <v>63166</v>
      </c>
      <c r="AM65" s="35" t="n">
        <v>74416</v>
      </c>
      <c r="AN65" s="35" t="n">
        <v>67538</v>
      </c>
      <c r="AO65" s="35" t="n">
        <v>73320</v>
      </c>
      <c r="AP65" s="35" t="n">
        <v>65886</v>
      </c>
      <c r="AQ65" s="35" t="n">
        <v>80395</v>
      </c>
      <c r="AR65" s="35" t="n">
        <v>76437</v>
      </c>
      <c r="AS65" s="35" t="n">
        <v>73724</v>
      </c>
      <c r="AT65" s="35" t="n">
        <v>67291</v>
      </c>
      <c r="AU65" s="35" t="n">
        <v>70657</v>
      </c>
      <c r="AV65" s="35" t="n">
        <v>66306</v>
      </c>
      <c r="AW65" s="35" t="n">
        <v>65250</v>
      </c>
      <c r="AX65" s="35" t="n">
        <v>64766</v>
      </c>
      <c r="AY65" s="35" t="n">
        <v>56541</v>
      </c>
      <c r="AZ65" s="35" t="n">
        <v>52604</v>
      </c>
      <c r="BA65" s="35" t="n">
        <v>51278</v>
      </c>
      <c r="BB65" s="35" t="n">
        <v>55457</v>
      </c>
      <c r="BC65" s="35" t="n">
        <v>47199</v>
      </c>
      <c r="BD65" s="35" t="n">
        <v>54252</v>
      </c>
      <c r="BE65" s="35" t="n">
        <v>51691</v>
      </c>
      <c r="BF65" s="35" t="n">
        <v>53162</v>
      </c>
      <c r="BG65" s="35" t="n">
        <v>56033</v>
      </c>
      <c r="BH65" s="37">
        <f>BH44</f>
        <v/>
      </c>
      <c r="BI65" s="37">
        <f>BI44</f>
        <v/>
      </c>
      <c r="BJ65" s="37">
        <f>BJ44</f>
        <v/>
      </c>
      <c r="BK65" s="37">
        <f>BK44</f>
        <v/>
      </c>
      <c r="BL65" s="37">
        <f>BL44</f>
        <v/>
      </c>
      <c r="BM65" s="37">
        <f>BM44</f>
        <v/>
      </c>
      <c r="BN65" s="37">
        <f>BN44</f>
        <v/>
      </c>
      <c r="BO65" s="37">
        <f>BO44</f>
        <v/>
      </c>
      <c r="BP65" s="37">
        <f>BP44</f>
        <v/>
      </c>
      <c r="BQ65" s="37">
        <f>BQ44</f>
        <v/>
      </c>
      <c r="BR65" s="30" t="inlineStr">
        <is>
          <t>见假设。</t>
        </is>
      </c>
    </row>
    <row r="66">
      <c r="A66" s="4" t="inlineStr">
        <is>
          <t>P&amp;L</t>
        </is>
      </c>
      <c r="B66" s="7" t="inlineStr">
        <is>
          <t>Selling, general &amp; administrative</t>
        </is>
      </c>
      <c r="C66" s="4" t="inlineStr">
        <is>
          <t>$000</t>
        </is>
      </c>
      <c r="D66" s="35" t="n">
        <v>64454</v>
      </c>
      <c r="E66" s="35" t="n">
        <v>105831</v>
      </c>
      <c r="F66" s="35" t="n">
        <v>101789</v>
      </c>
      <c r="G66" s="35" t="n">
        <v>88762</v>
      </c>
      <c r="H66" s="35" t="n">
        <v>130025</v>
      </c>
      <c r="I66" s="35" t="n">
        <v>149943</v>
      </c>
      <c r="J66" s="35" t="n">
        <v>168008</v>
      </c>
      <c r="K66" s="35" t="n">
        <v>132156</v>
      </c>
      <c r="L66" s="35" t="n">
        <v>138329</v>
      </c>
      <c r="M66" s="35" t="n">
        <v>159580</v>
      </c>
      <c r="N66" s="36">
        <f>BF66+BG66+BH66+BI66</f>
        <v/>
      </c>
      <c r="O66" s="37">
        <f>BJ66+BK66+BL66+BM66</f>
        <v/>
      </c>
      <c r="P66" s="37">
        <f>BN66+BO66+BP66+BQ66</f>
        <v/>
      </c>
      <c r="R66" s="35" t="n">
        <v>13610</v>
      </c>
      <c r="S66" s="35" t="n">
        <v>16505</v>
      </c>
      <c r="T66" s="35" t="n">
        <v>17619</v>
      </c>
      <c r="U66" s="35" t="n">
        <v>16720</v>
      </c>
      <c r="V66" s="35" t="n">
        <v>18613</v>
      </c>
      <c r="W66" s="35" t="n">
        <v>31338</v>
      </c>
      <c r="X66" s="35" t="n">
        <v>29037</v>
      </c>
      <c r="Y66" s="35" t="n">
        <v>26843</v>
      </c>
      <c r="Z66" s="35" t="n">
        <v>27117</v>
      </c>
      <c r="AA66" s="35" t="n">
        <v>24501</v>
      </c>
      <c r="AB66" s="35" t="n">
        <v>24963</v>
      </c>
      <c r="AC66" s="35" t="n">
        <v>25208</v>
      </c>
      <c r="AD66" s="35" t="n">
        <v>23591</v>
      </c>
      <c r="AE66" s="35" t="n">
        <v>22327</v>
      </c>
      <c r="AF66" s="35" t="n">
        <v>21920</v>
      </c>
      <c r="AG66" s="35" t="n">
        <v>20924</v>
      </c>
      <c r="AH66" s="35" t="n">
        <v>24632</v>
      </c>
      <c r="AI66" s="35" t="n">
        <v>27470</v>
      </c>
      <c r="AJ66" s="35" t="n">
        <v>41685</v>
      </c>
      <c r="AK66" s="35" t="n">
        <v>36238</v>
      </c>
      <c r="AL66" s="35" t="n">
        <v>36469</v>
      </c>
      <c r="AM66" s="35" t="n">
        <v>35885</v>
      </c>
      <c r="AN66" s="35" t="n">
        <v>38469</v>
      </c>
      <c r="AO66" s="35" t="n">
        <v>39120</v>
      </c>
      <c r="AP66" s="35" t="n">
        <v>40577</v>
      </c>
      <c r="AQ66" s="35" t="n">
        <v>44487</v>
      </c>
      <c r="AR66" s="35" t="n">
        <v>38472</v>
      </c>
      <c r="AS66" s="35" t="n">
        <v>44472</v>
      </c>
      <c r="AT66" s="35" t="n">
        <v>38653</v>
      </c>
      <c r="AU66" s="35" t="n">
        <v>33717</v>
      </c>
      <c r="AV66" s="35" t="n">
        <v>25402</v>
      </c>
      <c r="AW66" s="35" t="n">
        <v>34384</v>
      </c>
      <c r="AX66" s="35" t="n">
        <v>36488</v>
      </c>
      <c r="AY66" s="35" t="n">
        <v>33600</v>
      </c>
      <c r="AZ66" s="35" t="n">
        <v>30154</v>
      </c>
      <c r="BA66" s="35" t="n">
        <v>38087</v>
      </c>
      <c r="BB66" s="35" t="n">
        <v>36589</v>
      </c>
      <c r="BC66" s="35" t="n">
        <v>33361</v>
      </c>
      <c r="BD66" s="35" t="n">
        <v>47674</v>
      </c>
      <c r="BE66" s="35" t="n">
        <v>41956</v>
      </c>
      <c r="BF66" s="35" t="n">
        <v>42457</v>
      </c>
      <c r="BG66" s="35" t="n">
        <v>45751</v>
      </c>
      <c r="BH66" s="37">
        <f>BH43</f>
        <v/>
      </c>
      <c r="BI66" s="37">
        <f>BI43</f>
        <v/>
      </c>
      <c r="BJ66" s="37">
        <f>BJ43</f>
        <v/>
      </c>
      <c r="BK66" s="37">
        <f>BK43</f>
        <v/>
      </c>
      <c r="BL66" s="37">
        <f>BL43</f>
        <v/>
      </c>
      <c r="BM66" s="37">
        <f>BM43</f>
        <v/>
      </c>
      <c r="BN66" s="37">
        <f>BN43</f>
        <v/>
      </c>
      <c r="BO66" s="37">
        <f>BO43</f>
        <v/>
      </c>
      <c r="BP66" s="37">
        <f>BP43</f>
        <v/>
      </c>
      <c r="BQ66" s="37">
        <f>BQ43</f>
        <v/>
      </c>
      <c r="BR66" s="30" t="inlineStr">
        <is>
          <t>见假设。</t>
        </is>
      </c>
    </row>
    <row r="67">
      <c r="A67" s="4" t="inlineStr">
        <is>
          <t>P&amp;L</t>
        </is>
      </c>
      <c r="B67" s="7" t="inlineStr">
        <is>
          <t>Restructuring, impairment &amp; other opex</t>
        </is>
      </c>
      <c r="C67" s="4" t="inlineStr">
        <is>
          <t>$000</t>
        </is>
      </c>
      <c r="D67" s="35" t="n">
        <v>4732</v>
      </c>
      <c r="E67" s="35" t="n">
        <v>11524</v>
      </c>
      <c r="F67" s="35" t="n">
        <v>6036</v>
      </c>
      <c r="G67" s="35" t="n">
        <v>2636</v>
      </c>
      <c r="H67" s="35" t="n">
        <v>3919</v>
      </c>
      <c r="I67" s="35" t="n">
        <v>2204</v>
      </c>
      <c r="J67" s="35" t="n">
        <v>5076</v>
      </c>
      <c r="K67" s="35" t="n">
        <v>22224</v>
      </c>
      <c r="L67" s="35" t="n">
        <v>54616</v>
      </c>
      <c r="M67" s="35" t="n">
        <v>24525</v>
      </c>
      <c r="N67" s="36">
        <f>BF67+BG67+BH67+BI67</f>
        <v/>
      </c>
      <c r="O67" s="37">
        <f>BJ67+BK67+BL67+BM67</f>
        <v/>
      </c>
      <c r="P67" s="37">
        <f>BN67+BO67+BP67+BQ67</f>
        <v/>
      </c>
      <c r="R67" s="35" t="n">
        <v>2106</v>
      </c>
      <c r="S67" s="35" t="n">
        <v>0</v>
      </c>
      <c r="T67" s="35" t="n">
        <v>1300</v>
      </c>
      <c r="U67" s="35" t="n">
        <v>1326</v>
      </c>
      <c r="V67" s="35" t="n">
        <v>0</v>
      </c>
      <c r="W67" s="35" t="n">
        <v>6546</v>
      </c>
      <c r="X67" s="35" t="n">
        <v>4178</v>
      </c>
      <c r="Y67" s="35" t="n">
        <v>800</v>
      </c>
      <c r="Z67" s="35" t="n">
        <v>0</v>
      </c>
      <c r="AA67" s="35" t="n">
        <v>1865</v>
      </c>
      <c r="AB67" s="35" t="n">
        <v>2434</v>
      </c>
      <c r="AC67" s="35" t="n">
        <v>1737</v>
      </c>
      <c r="AD67" s="35" t="n">
        <v>1917</v>
      </c>
      <c r="AE67" s="35" t="n">
        <v>416</v>
      </c>
      <c r="AF67" s="35" t="n">
        <v>144</v>
      </c>
      <c r="AG67" s="35" t="n">
        <v>159</v>
      </c>
      <c r="AH67" s="35" t="n">
        <v>575</v>
      </c>
      <c r="AI67" s="35" t="n">
        <v>64</v>
      </c>
      <c r="AJ67" s="35" t="n">
        <v>3280</v>
      </c>
      <c r="AK67" s="35" t="n">
        <v>0</v>
      </c>
      <c r="AL67" s="35" t="n">
        <v>2166</v>
      </c>
      <c r="AM67" s="35" t="n">
        <v>38</v>
      </c>
      <c r="AN67" s="35" t="n">
        <v>0</v>
      </c>
      <c r="AO67" s="35" t="n">
        <v>0</v>
      </c>
      <c r="AP67" s="35" t="n">
        <v>0</v>
      </c>
      <c r="AQ67" s="35" t="n">
        <v>462</v>
      </c>
      <c r="AR67" s="35" t="n">
        <v>631</v>
      </c>
      <c r="AS67" s="35" t="n">
        <v>3983</v>
      </c>
      <c r="AT67" s="35" t="n">
        <v>7086</v>
      </c>
      <c r="AU67" s="35" t="n">
        <v>4436</v>
      </c>
      <c r="AV67" s="35" t="n">
        <v>54</v>
      </c>
      <c r="AW67" s="35" t="n">
        <v>10648</v>
      </c>
      <c r="AX67" s="35" t="n">
        <v>22630</v>
      </c>
      <c r="AY67" s="35" t="n">
        <v>865</v>
      </c>
      <c r="AZ67" s="35" t="n">
        <v>28065</v>
      </c>
      <c r="BA67" s="35" t="n">
        <v>3056</v>
      </c>
      <c r="BB67" s="35" t="n">
        <v>7879</v>
      </c>
      <c r="BC67" s="35" t="n">
        <v>5580</v>
      </c>
      <c r="BD67" s="35" t="n">
        <v>11264</v>
      </c>
      <c r="BE67" s="35" t="n">
        <v>-198</v>
      </c>
      <c r="BF67" s="35" t="n">
        <v>474</v>
      </c>
      <c r="BG67" s="35" t="n">
        <v>64</v>
      </c>
      <c r="BH67" s="37">
        <f>BH45</f>
        <v/>
      </c>
      <c r="BI67" s="37">
        <f>BI45</f>
        <v/>
      </c>
      <c r="BJ67" s="37">
        <f>BJ45</f>
        <v/>
      </c>
      <c r="BK67" s="37">
        <f>BK45</f>
        <v/>
      </c>
      <c r="BL67" s="37">
        <f>BL45</f>
        <v/>
      </c>
      <c r="BM67" s="37">
        <f>BM45</f>
        <v/>
      </c>
      <c r="BN67" s="37">
        <f>BN45</f>
        <v/>
      </c>
      <c r="BO67" s="37">
        <f>BO45</f>
        <v/>
      </c>
      <c r="BP67" s="37">
        <f>BP45</f>
        <v/>
      </c>
      <c r="BQ67" s="37">
        <f>BQ45</f>
        <v/>
      </c>
      <c r="BR67" s="30" t="inlineStr">
        <is>
          <t>重组/减值/IPR&amp;D。历史含使OI钉住10-K的残差。</t>
        </is>
      </c>
    </row>
    <row r="68">
      <c r="A68" s="4" t="inlineStr">
        <is>
          <t>P&amp;L</t>
        </is>
      </c>
      <c r="B68" s="7" t="inlineStr">
        <is>
          <t>Total operating expenses</t>
        </is>
      </c>
      <c r="C68" s="4" t="inlineStr">
        <is>
          <t>$000</t>
        </is>
      </c>
      <c r="D68" s="38">
        <f>D65+D66+D67</f>
        <v/>
      </c>
      <c r="E68" s="38">
        <f>E65+E66+E67</f>
        <v/>
      </c>
      <c r="F68" s="38">
        <f>F65+F66+F67</f>
        <v/>
      </c>
      <c r="G68" s="38">
        <f>G65+G66+G67</f>
        <v/>
      </c>
      <c r="H68" s="38">
        <f>H65+H66+H67</f>
        <v/>
      </c>
      <c r="I68" s="38">
        <f>I65+I66+I67</f>
        <v/>
      </c>
      <c r="J68" s="38">
        <f>J65+J66+J67</f>
        <v/>
      </c>
      <c r="K68" s="38">
        <f>K65+K66+K67</f>
        <v/>
      </c>
      <c r="L68" s="38">
        <f>L65+L66+L67</f>
        <v/>
      </c>
      <c r="M68" s="38">
        <f>M65+M66+M67</f>
        <v/>
      </c>
      <c r="N68" s="36">
        <f>N65+N66+N67</f>
        <v/>
      </c>
      <c r="O68" s="37">
        <f>O65+O66+O67</f>
        <v/>
      </c>
      <c r="P68" s="37">
        <f>P65+P66+P67</f>
        <v/>
      </c>
      <c r="R68" s="38">
        <f>R65+R66+R67</f>
        <v/>
      </c>
      <c r="S68" s="38">
        <f>S65+S66+S67</f>
        <v/>
      </c>
      <c r="T68" s="38">
        <f>T65+T66+T67</f>
        <v/>
      </c>
      <c r="U68" s="38">
        <f>U65+U66+U67</f>
        <v/>
      </c>
      <c r="V68" s="38">
        <f>V65+V66+V67</f>
        <v/>
      </c>
      <c r="W68" s="38">
        <f>W65+W66+W67</f>
        <v/>
      </c>
      <c r="X68" s="38">
        <f>X65+X66+X67</f>
        <v/>
      </c>
      <c r="Y68" s="38">
        <f>Y65+Y66+Y67</f>
        <v/>
      </c>
      <c r="Z68" s="38">
        <f>Z65+Z66+Z67</f>
        <v/>
      </c>
      <c r="AA68" s="38">
        <f>AA65+AA66+AA67</f>
        <v/>
      </c>
      <c r="AB68" s="38">
        <f>AB65+AB66+AB67</f>
        <v/>
      </c>
      <c r="AC68" s="38">
        <f>AC65+AC66+AC67</f>
        <v/>
      </c>
      <c r="AD68" s="38">
        <f>AD65+AD66+AD67</f>
        <v/>
      </c>
      <c r="AE68" s="38">
        <f>AE65+AE66+AE67</f>
        <v/>
      </c>
      <c r="AF68" s="38">
        <f>AF65+AF66+AF67</f>
        <v/>
      </c>
      <c r="AG68" s="38">
        <f>AG65+AG66+AG67</f>
        <v/>
      </c>
      <c r="AH68" s="38">
        <f>AH65+AH66+AH67</f>
        <v/>
      </c>
      <c r="AI68" s="38">
        <f>AI65+AI66+AI67</f>
        <v/>
      </c>
      <c r="AJ68" s="38">
        <f>AJ65+AJ66+AJ67</f>
        <v/>
      </c>
      <c r="AK68" s="38">
        <f>AK65+AK66+AK67</f>
        <v/>
      </c>
      <c r="AL68" s="38">
        <f>AL65+AL66+AL67</f>
        <v/>
      </c>
      <c r="AM68" s="38">
        <f>AM65+AM66+AM67</f>
        <v/>
      </c>
      <c r="AN68" s="38">
        <f>AN65+AN66+AN67</f>
        <v/>
      </c>
      <c r="AO68" s="38">
        <f>AO65+AO66+AO67</f>
        <v/>
      </c>
      <c r="AP68" s="38">
        <f>AP65+AP66+AP67</f>
        <v/>
      </c>
      <c r="AQ68" s="38">
        <f>AQ65+AQ66+AQ67</f>
        <v/>
      </c>
      <c r="AR68" s="38">
        <f>AR65+AR66+AR67</f>
        <v/>
      </c>
      <c r="AS68" s="38">
        <f>AS65+AS66+AS67</f>
        <v/>
      </c>
      <c r="AT68" s="38">
        <f>AT65+AT66+AT67</f>
        <v/>
      </c>
      <c r="AU68" s="38">
        <f>AU65+AU66+AU67</f>
        <v/>
      </c>
      <c r="AV68" s="38">
        <f>AV65+AV66+AV67</f>
        <v/>
      </c>
      <c r="AW68" s="38">
        <f>AW65+AW66+AW67</f>
        <v/>
      </c>
      <c r="AX68" s="38">
        <f>AX65+AX66+AX67</f>
        <v/>
      </c>
      <c r="AY68" s="38">
        <f>AY65+AY66+AY67</f>
        <v/>
      </c>
      <c r="AZ68" s="38">
        <f>AZ65+AZ66+AZ67</f>
        <v/>
      </c>
      <c r="BA68" s="38">
        <f>BA65+BA66+BA67</f>
        <v/>
      </c>
      <c r="BB68" s="38">
        <f>BB65+BB66+BB67</f>
        <v/>
      </c>
      <c r="BC68" s="38">
        <f>BC65+BC66+BC67</f>
        <v/>
      </c>
      <c r="BD68" s="38">
        <f>BD65+BD66+BD67</f>
        <v/>
      </c>
      <c r="BE68" s="38">
        <f>BE65+BE66+BE67</f>
        <v/>
      </c>
      <c r="BF68" s="38">
        <f>BF65+BF66+BF67</f>
        <v/>
      </c>
      <c r="BG68" s="38">
        <f>BG65+BG66+BG67</f>
        <v/>
      </c>
      <c r="BH68" s="37">
        <f>BH65+BH66+BH67</f>
        <v/>
      </c>
      <c r="BI68" s="37">
        <f>BI65+BI66+BI67</f>
        <v/>
      </c>
      <c r="BJ68" s="37">
        <f>BJ65+BJ66+BJ67</f>
        <v/>
      </c>
      <c r="BK68" s="37">
        <f>BK65+BK66+BK67</f>
        <v/>
      </c>
      <c r="BL68" s="37">
        <f>BL65+BL66+BL67</f>
        <v/>
      </c>
      <c r="BM68" s="37">
        <f>BM65+BM66+BM67</f>
        <v/>
      </c>
      <c r="BN68" s="37">
        <f>BN65+BN66+BN67</f>
        <v/>
      </c>
      <c r="BO68" s="37">
        <f>BO65+BO66+BO67</f>
        <v/>
      </c>
      <c r="BP68" s="37">
        <f>BP65+BP66+BP67</f>
        <v/>
      </c>
      <c r="BQ68" s="37">
        <f>BQ65+BQ66+BQ67</f>
        <v/>
      </c>
      <c r="BR68" s="30" t="inlineStr">
        <is>
          <t>R&amp;D+SG&amp;A+重组。</t>
        </is>
      </c>
    </row>
    <row r="69">
      <c r="A69" s="4" t="inlineStr">
        <is>
          <t>P&amp;L</t>
        </is>
      </c>
      <c r="B69" s="5" t="inlineStr">
        <is>
          <t>Operating income</t>
        </is>
      </c>
      <c r="C69" s="4" t="inlineStr">
        <is>
          <t>$000</t>
        </is>
      </c>
      <c r="D69" s="42">
        <f>D63-D68</f>
        <v/>
      </c>
      <c r="E69" s="42">
        <f>E63-E68</f>
        <v/>
      </c>
      <c r="F69" s="42">
        <f>F63-F68</f>
        <v/>
      </c>
      <c r="G69" s="42">
        <f>G63-G68</f>
        <v/>
      </c>
      <c r="H69" s="42">
        <f>H63-H68</f>
        <v/>
      </c>
      <c r="I69" s="42">
        <f>I63-I68</f>
        <v/>
      </c>
      <c r="J69" s="42">
        <f>J63-J68</f>
        <v/>
      </c>
      <c r="K69" s="42">
        <f>K63-K68</f>
        <v/>
      </c>
      <c r="L69" s="42">
        <f>L63-L68</f>
        <v/>
      </c>
      <c r="M69" s="42">
        <f>M63-M68</f>
        <v/>
      </c>
      <c r="N69" s="42">
        <f>N63-N68</f>
        <v/>
      </c>
      <c r="O69" s="42">
        <f>O63-O68</f>
        <v/>
      </c>
      <c r="P69" s="42">
        <f>P63-P68</f>
        <v/>
      </c>
      <c r="R69" s="42">
        <f>R63-R68</f>
        <v/>
      </c>
      <c r="S69" s="42">
        <f>S63-S68</f>
        <v/>
      </c>
      <c r="T69" s="42">
        <f>T63-T68</f>
        <v/>
      </c>
      <c r="U69" s="42">
        <f>U63-U68</f>
        <v/>
      </c>
      <c r="V69" s="42">
        <f>V63-V68</f>
        <v/>
      </c>
      <c r="W69" s="42">
        <f>W63-W68</f>
        <v/>
      </c>
      <c r="X69" s="42">
        <f>X63-X68</f>
        <v/>
      </c>
      <c r="Y69" s="42">
        <f>Y63-Y68</f>
        <v/>
      </c>
      <c r="Z69" s="42">
        <f>Z63-Z68</f>
        <v/>
      </c>
      <c r="AA69" s="42">
        <f>AA63-AA68</f>
        <v/>
      </c>
      <c r="AB69" s="42">
        <f>AB63-AB68</f>
        <v/>
      </c>
      <c r="AC69" s="42">
        <f>AC63-AC68</f>
        <v/>
      </c>
      <c r="AD69" s="42">
        <f>AD63-AD68</f>
        <v/>
      </c>
      <c r="AE69" s="42">
        <f>AE63-AE68</f>
        <v/>
      </c>
      <c r="AF69" s="42">
        <f>AF63-AF68</f>
        <v/>
      </c>
      <c r="AG69" s="42">
        <f>AG63-AG68</f>
        <v/>
      </c>
      <c r="AH69" s="42">
        <f>AH63-AH68</f>
        <v/>
      </c>
      <c r="AI69" s="42">
        <f>AI63-AI68</f>
        <v/>
      </c>
      <c r="AJ69" s="42">
        <f>AJ63-AJ68</f>
        <v/>
      </c>
      <c r="AK69" s="42">
        <f>AK63-AK68</f>
        <v/>
      </c>
      <c r="AL69" s="42">
        <f>AL63-AL68</f>
        <v/>
      </c>
      <c r="AM69" s="42">
        <f>AM63-AM68</f>
        <v/>
      </c>
      <c r="AN69" s="42">
        <f>AN63-AN68</f>
        <v/>
      </c>
      <c r="AO69" s="42">
        <f>AO63-AO68</f>
        <v/>
      </c>
      <c r="AP69" s="42">
        <f>AP63-AP68</f>
        <v/>
      </c>
      <c r="AQ69" s="42">
        <f>AQ63-AQ68</f>
        <v/>
      </c>
      <c r="AR69" s="42">
        <f>AR63-AR68</f>
        <v/>
      </c>
      <c r="AS69" s="42">
        <f>AS63-AS68</f>
        <v/>
      </c>
      <c r="AT69" s="42">
        <f>AT63-AT68</f>
        <v/>
      </c>
      <c r="AU69" s="42">
        <f>AU63-AU68</f>
        <v/>
      </c>
      <c r="AV69" s="42">
        <f>AV63-AV68</f>
        <v/>
      </c>
      <c r="AW69" s="42">
        <f>AW63-AW68</f>
        <v/>
      </c>
      <c r="AX69" s="42">
        <f>AX63-AX68</f>
        <v/>
      </c>
      <c r="AY69" s="42">
        <f>AY63-AY68</f>
        <v/>
      </c>
      <c r="AZ69" s="42">
        <f>AZ63-AZ68</f>
        <v/>
      </c>
      <c r="BA69" s="42">
        <f>BA63-BA68</f>
        <v/>
      </c>
      <c r="BB69" s="42">
        <f>BB63-BB68</f>
        <v/>
      </c>
      <c r="BC69" s="42">
        <f>BC63-BC68</f>
        <v/>
      </c>
      <c r="BD69" s="42">
        <f>BD63-BD68</f>
        <v/>
      </c>
      <c r="BE69" s="42">
        <f>BE63-BE68</f>
        <v/>
      </c>
      <c r="BF69" s="42">
        <f>BF63-BF68</f>
        <v/>
      </c>
      <c r="BG69" s="42">
        <f>BG63-BG68</f>
        <v/>
      </c>
      <c r="BH69" s="42">
        <f>BH63-BH68</f>
        <v/>
      </c>
      <c r="BI69" s="42">
        <f>BI63-BI68</f>
        <v/>
      </c>
      <c r="BJ69" s="42">
        <f>BJ63-BJ68</f>
        <v/>
      </c>
      <c r="BK69" s="42">
        <f>BK63-BK68</f>
        <v/>
      </c>
      <c r="BL69" s="42">
        <f>BL63-BL68</f>
        <v/>
      </c>
      <c r="BM69" s="42">
        <f>BM63-BM68</f>
        <v/>
      </c>
      <c r="BN69" s="42">
        <f>BN63-BN68</f>
        <v/>
      </c>
      <c r="BO69" s="42">
        <f>BO63-BO68</f>
        <v/>
      </c>
      <c r="BP69" s="42">
        <f>BP63-BP68</f>
        <v/>
      </c>
      <c r="BQ69" s="42">
        <f>BQ63-BQ68</f>
        <v/>
      </c>
      <c r="BR69" s="30" t="inlineStr">
        <is>
          <t>营业利润=毛利−营业费用。</t>
        </is>
      </c>
    </row>
    <row r="70">
      <c r="A70" s="4" t="inlineStr">
        <is>
          <t>P&amp;L</t>
        </is>
      </c>
      <c r="B70" s="7" t="inlineStr">
        <is>
          <t>Operating margin</t>
        </is>
      </c>
      <c r="C70" s="4" t="inlineStr">
        <is>
          <t>%</t>
        </is>
      </c>
      <c r="D70" s="39">
        <f>IF(D61=0,0,D69/D61)</f>
        <v/>
      </c>
      <c r="E70" s="39">
        <f>IF(E61=0,0,E69/E61)</f>
        <v/>
      </c>
      <c r="F70" s="39">
        <f>IF(F61=0,0,F69/F61)</f>
        <v/>
      </c>
      <c r="G70" s="39">
        <f>IF(G61=0,0,G69/G61)</f>
        <v/>
      </c>
      <c r="H70" s="39">
        <f>IF(H61=0,0,H69/H61)</f>
        <v/>
      </c>
      <c r="I70" s="39">
        <f>IF(I61=0,0,I69/I61)</f>
        <v/>
      </c>
      <c r="J70" s="39">
        <f>IF(J61=0,0,J69/J61)</f>
        <v/>
      </c>
      <c r="K70" s="39">
        <f>IF(K61=0,0,K69/K61)</f>
        <v/>
      </c>
      <c r="L70" s="39">
        <f>IF(L61=0,0,L69/L61)</f>
        <v/>
      </c>
      <c r="M70" s="39">
        <f>IF(M61=0,0,M69/M61)</f>
        <v/>
      </c>
      <c r="N70" s="40">
        <f>IF(N61=0,0,N69/N61)</f>
        <v/>
      </c>
      <c r="O70" s="41">
        <f>IF(O61=0,0,O69/O61)</f>
        <v/>
      </c>
      <c r="P70" s="41">
        <f>IF(P61=0,0,P69/P61)</f>
        <v/>
      </c>
      <c r="R70" s="39">
        <f>IF(R61=0,0,R69/R61)</f>
        <v/>
      </c>
      <c r="S70" s="39">
        <f>IF(S61=0,0,S69/S61)</f>
        <v/>
      </c>
      <c r="T70" s="39">
        <f>IF(T61=0,0,T69/T61)</f>
        <v/>
      </c>
      <c r="U70" s="39">
        <f>IF(U61=0,0,U69/U61)</f>
        <v/>
      </c>
      <c r="V70" s="39">
        <f>IF(V61=0,0,V69/V61)</f>
        <v/>
      </c>
      <c r="W70" s="39">
        <f>IF(W61=0,0,W69/W61)</f>
        <v/>
      </c>
      <c r="X70" s="39">
        <f>IF(X61=0,0,X69/X61)</f>
        <v/>
      </c>
      <c r="Y70" s="39">
        <f>IF(Y61=0,0,Y69/Y61)</f>
        <v/>
      </c>
      <c r="Z70" s="39">
        <f>IF(Z61=0,0,Z69/Z61)</f>
        <v/>
      </c>
      <c r="AA70" s="39">
        <f>IF(AA61=0,0,AA69/AA61)</f>
        <v/>
      </c>
      <c r="AB70" s="39">
        <f>IF(AB61=0,0,AB69/AB61)</f>
        <v/>
      </c>
      <c r="AC70" s="39">
        <f>IF(AC61=0,0,AC69/AC61)</f>
        <v/>
      </c>
      <c r="AD70" s="39">
        <f>IF(AD61=0,0,AD69/AD61)</f>
        <v/>
      </c>
      <c r="AE70" s="39">
        <f>IF(AE61=0,0,AE69/AE61)</f>
        <v/>
      </c>
      <c r="AF70" s="39">
        <f>IF(AF61=0,0,AF69/AF61)</f>
        <v/>
      </c>
      <c r="AG70" s="39">
        <f>IF(AG61=0,0,AG69/AG61)</f>
        <v/>
      </c>
      <c r="AH70" s="39">
        <f>IF(AH61=0,0,AH69/AH61)</f>
        <v/>
      </c>
      <c r="AI70" s="39">
        <f>IF(AI61=0,0,AI69/AI61)</f>
        <v/>
      </c>
      <c r="AJ70" s="39">
        <f>IF(AJ61=0,0,AJ69/AJ61)</f>
        <v/>
      </c>
      <c r="AK70" s="39">
        <f>IF(AK61=0,0,AK69/AK61)</f>
        <v/>
      </c>
      <c r="AL70" s="39">
        <f>IF(AL61=0,0,AL69/AL61)</f>
        <v/>
      </c>
      <c r="AM70" s="39">
        <f>IF(AM61=0,0,AM69/AM61)</f>
        <v/>
      </c>
      <c r="AN70" s="39">
        <f>IF(AN61=0,0,AN69/AN61)</f>
        <v/>
      </c>
      <c r="AO70" s="39">
        <f>IF(AO61=0,0,AO69/AO61)</f>
        <v/>
      </c>
      <c r="AP70" s="39">
        <f>IF(AP61=0,0,AP69/AP61)</f>
        <v/>
      </c>
      <c r="AQ70" s="39">
        <f>IF(AQ61=0,0,AQ69/AQ61)</f>
        <v/>
      </c>
      <c r="AR70" s="39">
        <f>IF(AR61=0,0,AR69/AR61)</f>
        <v/>
      </c>
      <c r="AS70" s="39">
        <f>IF(AS61=0,0,AS69/AS61)</f>
        <v/>
      </c>
      <c r="AT70" s="39">
        <f>IF(AT61=0,0,AT69/AT61)</f>
        <v/>
      </c>
      <c r="AU70" s="39">
        <f>IF(AU61=0,0,AU69/AU61)</f>
        <v/>
      </c>
      <c r="AV70" s="39">
        <f>IF(AV61=0,0,AV69/AV61)</f>
        <v/>
      </c>
      <c r="AW70" s="39">
        <f>IF(AW61=0,0,AW69/AW61)</f>
        <v/>
      </c>
      <c r="AX70" s="39">
        <f>IF(AX61=0,0,AX69/AX61)</f>
        <v/>
      </c>
      <c r="AY70" s="39">
        <f>IF(AY61=0,0,AY69/AY61)</f>
        <v/>
      </c>
      <c r="AZ70" s="39">
        <f>IF(AZ61=0,0,AZ69/AZ61)</f>
        <v/>
      </c>
      <c r="BA70" s="39">
        <f>IF(BA61=0,0,BA69/BA61)</f>
        <v/>
      </c>
      <c r="BB70" s="39">
        <f>IF(BB61=0,0,BB69/BB61)</f>
        <v/>
      </c>
      <c r="BC70" s="39">
        <f>IF(BC61=0,0,BC69/BC61)</f>
        <v/>
      </c>
      <c r="BD70" s="39">
        <f>IF(BD61=0,0,BD69/BD61)</f>
        <v/>
      </c>
      <c r="BE70" s="39">
        <f>IF(BE61=0,0,BE69/BE61)</f>
        <v/>
      </c>
      <c r="BF70" s="39">
        <f>IF(BF61=0,0,BF69/BF61)</f>
        <v/>
      </c>
      <c r="BG70" s="39">
        <f>IF(BG61=0,0,BG69/BG61)</f>
        <v/>
      </c>
      <c r="BH70" s="41">
        <f>IF(BH61=0,0,BH69/BH61)</f>
        <v/>
      </c>
      <c r="BI70" s="41">
        <f>IF(BI61=0,0,BI69/BI61)</f>
        <v/>
      </c>
      <c r="BJ70" s="41">
        <f>IF(BJ61=0,0,BJ69/BJ61)</f>
        <v/>
      </c>
      <c r="BK70" s="41">
        <f>IF(BK61=0,0,BK69/BK61)</f>
        <v/>
      </c>
      <c r="BL70" s="41">
        <f>IF(BL61=0,0,BL69/BL61)</f>
        <v/>
      </c>
      <c r="BM70" s="41">
        <f>IF(BM61=0,0,BM69/BM61)</f>
        <v/>
      </c>
      <c r="BN70" s="41">
        <f>IF(BN61=0,0,BN69/BN61)</f>
        <v/>
      </c>
      <c r="BO70" s="41">
        <f>IF(BO61=0,0,BO69/BO61)</f>
        <v/>
      </c>
      <c r="BP70" s="41">
        <f>IF(BP61=0,0,BP69/BP61)</f>
        <v/>
      </c>
      <c r="BQ70" s="41">
        <f>IF(BQ61=0,0,BQ69/BQ61)</f>
        <v/>
      </c>
      <c r="BR70" s="30" t="inlineStr">
        <is>
          <t>营业利润率。Q2'26 GAAP −2.5%，Non-GAAP 22.3%。</t>
        </is>
      </c>
    </row>
    <row r="71">
      <c r="A71" s="4" t="inlineStr">
        <is>
          <t>P&amp;L</t>
        </is>
      </c>
      <c r="B71" s="7" t="inlineStr">
        <is>
          <t>Interest income</t>
        </is>
      </c>
      <c r="C71" s="4" t="inlineStr">
        <is>
          <t>$000</t>
        </is>
      </c>
      <c r="D71" s="35" t="n">
        <v>572</v>
      </c>
      <c r="E71" s="35" t="n">
        <v>274</v>
      </c>
      <c r="F71" s="35" t="n">
        <v>78</v>
      </c>
      <c r="G71" s="35" t="n">
        <v>775</v>
      </c>
      <c r="H71" s="35" t="n">
        <v>409</v>
      </c>
      <c r="I71" s="35" t="n">
        <v>78</v>
      </c>
      <c r="J71" s="35" t="n">
        <v>245</v>
      </c>
      <c r="K71" s="35" t="n">
        <v>6053</v>
      </c>
      <c r="L71" s="35" t="n">
        <v>6386</v>
      </c>
      <c r="M71" s="35" t="n">
        <v>3385</v>
      </c>
      <c r="N71" s="36">
        <f>BF71+BG71+BH71+BI71</f>
        <v/>
      </c>
      <c r="O71" s="37">
        <f>BJ71+BK71+BL71+BM71</f>
        <v/>
      </c>
      <c r="P71" s="37">
        <f>BN71+BO71+BP71+BQ71</f>
        <v/>
      </c>
      <c r="R71" s="35" t="n">
        <v>170</v>
      </c>
      <c r="S71" s="35" t="n">
        <v>167</v>
      </c>
      <c r="T71" s="35" t="n">
        <v>89</v>
      </c>
      <c r="U71" s="35" t="n">
        <v>146</v>
      </c>
      <c r="V71" s="35" t="n">
        <v>195</v>
      </c>
      <c r="W71" s="35" t="n">
        <v>64</v>
      </c>
      <c r="X71" s="35" t="n">
        <v>1</v>
      </c>
      <c r="Y71" s="35" t="n">
        <v>14</v>
      </c>
      <c r="Z71" s="35" t="n">
        <v>18</v>
      </c>
      <c r="AA71" s="35" t="n">
        <v>19</v>
      </c>
      <c r="AB71" s="35" t="n">
        <v>17</v>
      </c>
      <c r="AC71" s="35" t="n">
        <v>24</v>
      </c>
      <c r="AD71" s="35" t="n">
        <v>147</v>
      </c>
      <c r="AE71" s="35" t="n">
        <v>192</v>
      </c>
      <c r="AF71" s="35" t="n">
        <v>214</v>
      </c>
      <c r="AG71" s="35" t="n">
        <v>222</v>
      </c>
      <c r="AH71" s="35" t="n">
        <v>225</v>
      </c>
      <c r="AI71" s="35" t="n">
        <v>31</v>
      </c>
      <c r="AJ71" s="35" t="n">
        <v>27</v>
      </c>
      <c r="AK71" s="35" t="n">
        <v>126</v>
      </c>
      <c r="AL71" s="35" t="n">
        <v>0</v>
      </c>
      <c r="AM71" s="35" t="n">
        <v>18</v>
      </c>
      <c r="AN71" s="35" t="n">
        <v>28</v>
      </c>
      <c r="AO71" s="35" t="n">
        <v>32</v>
      </c>
      <c r="AP71" s="35" t="n">
        <v>31</v>
      </c>
      <c r="AQ71" s="35" t="n">
        <v>82</v>
      </c>
      <c r="AR71" s="35" t="n">
        <v>62</v>
      </c>
      <c r="AS71" s="35" t="n">
        <v>70</v>
      </c>
      <c r="AT71" s="35" t="n">
        <v>633</v>
      </c>
      <c r="AU71" s="35" t="n">
        <v>1903</v>
      </c>
      <c r="AV71" s="35" t="n">
        <v>1736</v>
      </c>
      <c r="AW71" s="35" t="n">
        <v>1781</v>
      </c>
      <c r="AX71" s="35" t="n">
        <v>1822</v>
      </c>
      <c r="AY71" s="35" t="n">
        <v>1871</v>
      </c>
      <c r="AZ71" s="35" t="n">
        <v>1653</v>
      </c>
      <c r="BA71" s="35" t="n">
        <v>1040</v>
      </c>
      <c r="BB71" s="35" t="n">
        <v>864</v>
      </c>
      <c r="BC71" s="35" t="n">
        <v>812</v>
      </c>
      <c r="BD71" s="35" t="n">
        <v>874</v>
      </c>
      <c r="BE71" s="35" t="n">
        <v>835</v>
      </c>
      <c r="BF71" s="35" t="n">
        <v>633</v>
      </c>
      <c r="BG71" s="35" t="n">
        <v>474</v>
      </c>
      <c r="BH71" s="37">
        <f>BG82*BH48</f>
        <v/>
      </c>
      <c r="BI71" s="37">
        <f>BH82*BI48</f>
        <v/>
      </c>
      <c r="BJ71" s="37">
        <f>BI82*BJ48</f>
        <v/>
      </c>
      <c r="BK71" s="37">
        <f>BJ82*BK48</f>
        <v/>
      </c>
      <c r="BL71" s="37">
        <f>BK82*BL48</f>
        <v/>
      </c>
      <c r="BM71" s="37">
        <f>BL82*BM48</f>
        <v/>
      </c>
      <c r="BN71" s="37">
        <f>BM82*BN48</f>
        <v/>
      </c>
      <c r="BO71" s="37">
        <f>BN82*BO48</f>
        <v/>
      </c>
      <c r="BP71" s="37">
        <f>BO82*BP48</f>
        <v/>
      </c>
      <c r="BQ71" s="37">
        <f>BP82*BQ48</f>
        <v/>
      </c>
      <c r="BR71" s="30" t="inlineStr">
        <is>
          <t>利息收入。预测=期初现金×收益率。</t>
        </is>
      </c>
    </row>
    <row r="72">
      <c r="A72" s="4" t="inlineStr">
        <is>
          <t>P&amp;L</t>
        </is>
      </c>
      <c r="B72" s="7" t="inlineStr">
        <is>
          <t>Interest expense</t>
        </is>
      </c>
      <c r="C72" s="4" t="inlineStr">
        <is>
          <t>$000</t>
        </is>
      </c>
      <c r="D72" s="35" t="n">
        <v>104</v>
      </c>
      <c r="E72" s="35" t="n">
        <v>10378</v>
      </c>
      <c r="F72" s="35" t="n">
        <v>14255</v>
      </c>
      <c r="G72" s="35" t="n">
        <v>11133</v>
      </c>
      <c r="H72" s="35" t="n">
        <v>12952</v>
      </c>
      <c r="I72" s="35" t="n">
        <v>12996</v>
      </c>
      <c r="J72" s="35" t="n">
        <v>9768</v>
      </c>
      <c r="K72" s="35" t="n">
        <v>10702</v>
      </c>
      <c r="L72" s="35" t="n">
        <v>10874</v>
      </c>
      <c r="M72" s="35" t="n">
        <v>10056</v>
      </c>
      <c r="N72" s="36">
        <f>BF72+BG72+BH72+BI72</f>
        <v/>
      </c>
      <c r="O72" s="37">
        <f>BJ72+BK72+BL72+BM72</f>
        <v/>
      </c>
      <c r="P72" s="37">
        <f>BN72+BO72+BP72+BQ72</f>
        <v/>
      </c>
      <c r="R72" s="35" t="n">
        <v>0</v>
      </c>
      <c r="S72" s="35" t="n">
        <v>0</v>
      </c>
      <c r="T72" s="35" t="n">
        <v>0</v>
      </c>
      <c r="U72" s="35" t="n">
        <v>104</v>
      </c>
      <c r="V72" s="35" t="n">
        <v>1</v>
      </c>
      <c r="W72" s="35" t="n">
        <v>2201</v>
      </c>
      <c r="X72" s="35" t="n">
        <v>4133</v>
      </c>
      <c r="Y72" s="35" t="n">
        <v>4043</v>
      </c>
      <c r="Z72" s="35" t="n">
        <v>3894</v>
      </c>
      <c r="AA72" s="35" t="n">
        <v>3694</v>
      </c>
      <c r="AB72" s="35" t="n">
        <v>3473</v>
      </c>
      <c r="AC72" s="35" t="n">
        <v>3194</v>
      </c>
      <c r="AD72" s="35" t="n">
        <v>2975</v>
      </c>
      <c r="AE72" s="35" t="n">
        <v>2853</v>
      </c>
      <c r="AF72" s="35" t="n">
        <v>2718</v>
      </c>
      <c r="AG72" s="35" t="n">
        <v>2587</v>
      </c>
      <c r="AH72" s="35" t="n">
        <v>2476</v>
      </c>
      <c r="AI72" s="35" t="n">
        <v>2183</v>
      </c>
      <c r="AJ72" s="35" t="n">
        <v>3569</v>
      </c>
      <c r="AK72" s="35" t="n">
        <v>4724</v>
      </c>
      <c r="AL72" s="35" t="n">
        <v>4206</v>
      </c>
      <c r="AM72" s="35" t="n">
        <v>3741</v>
      </c>
      <c r="AN72" s="35" t="n">
        <v>2649</v>
      </c>
      <c r="AO72" s="35" t="n">
        <v>2400</v>
      </c>
      <c r="AP72" s="35" t="n">
        <v>2349</v>
      </c>
      <c r="AQ72" s="35" t="n">
        <v>2416</v>
      </c>
      <c r="AR72" s="35" t="n">
        <v>2711</v>
      </c>
      <c r="AS72" s="35" t="n">
        <v>2292</v>
      </c>
      <c r="AT72" s="35" t="n">
        <v>2487</v>
      </c>
      <c r="AU72" s="35" t="n">
        <v>2591</v>
      </c>
      <c r="AV72" s="35" t="n">
        <v>2715</v>
      </c>
      <c r="AW72" s="35" t="n">
        <v>2909</v>
      </c>
      <c r="AX72" s="35" t="n">
        <v>2711</v>
      </c>
      <c r="AY72" s="35" t="n">
        <v>2706</v>
      </c>
      <c r="AZ72" s="35" t="n">
        <v>2655</v>
      </c>
      <c r="BA72" s="35" t="n">
        <v>8163</v>
      </c>
      <c r="BB72" s="35" t="n">
        <v>2504</v>
      </c>
      <c r="BC72" s="35" t="n">
        <v>2512</v>
      </c>
      <c r="BD72" s="35" t="n">
        <v>2649</v>
      </c>
      <c r="BE72" s="35" t="n">
        <v>10056</v>
      </c>
      <c r="BF72" s="35" t="n">
        <v>2197</v>
      </c>
      <c r="BG72" s="35" t="n">
        <v>2269</v>
      </c>
      <c r="BH72" s="37">
        <f>(BG93+BG96)*BH49</f>
        <v/>
      </c>
      <c r="BI72" s="37">
        <f>(BH93+BH96)*BI49</f>
        <v/>
      </c>
      <c r="BJ72" s="37">
        <f>(BI93+BI96)*BJ49</f>
        <v/>
      </c>
      <c r="BK72" s="37">
        <f>(BJ93+BJ96)*BK49</f>
        <v/>
      </c>
      <c r="BL72" s="37">
        <f>(BK93+BK96)*BL49</f>
        <v/>
      </c>
      <c r="BM72" s="37">
        <f>(BL93+BL96)*BM49</f>
        <v/>
      </c>
      <c r="BN72" s="37">
        <f>(BM93+BM96)*BN49</f>
        <v/>
      </c>
      <c r="BO72" s="37">
        <f>(BN93+BN96)*BO49</f>
        <v/>
      </c>
      <c r="BP72" s="37">
        <f>(BO93+BO96)*BP49</f>
        <v/>
      </c>
      <c r="BQ72" s="37">
        <f>(BP93+BP96)*BQ49</f>
        <v/>
      </c>
      <c r="BR72" s="30" t="inlineStr">
        <is>
          <t>利息支出。预测=期初(ST+LT债务)×债务成本。</t>
        </is>
      </c>
    </row>
    <row r="73">
      <c r="A73" s="4" t="inlineStr">
        <is>
          <t>P&amp;L</t>
        </is>
      </c>
      <c r="B73" s="7" t="inlineStr">
        <is>
          <t>Interest income / (expense), net</t>
        </is>
      </c>
      <c r="C73" s="4" t="inlineStr">
        <is>
          <t>$000</t>
        </is>
      </c>
      <c r="D73" s="38">
        <f>D71-D72</f>
        <v/>
      </c>
      <c r="E73" s="38">
        <f>E71-E72</f>
        <v/>
      </c>
      <c r="F73" s="38">
        <f>F71-F72</f>
        <v/>
      </c>
      <c r="G73" s="38">
        <f>G71-G72</f>
        <v/>
      </c>
      <c r="H73" s="38">
        <f>H71-H72</f>
        <v/>
      </c>
      <c r="I73" s="38">
        <f>I71-I72</f>
        <v/>
      </c>
      <c r="J73" s="38">
        <f>J71-J72</f>
        <v/>
      </c>
      <c r="K73" s="38">
        <f>K71-K72</f>
        <v/>
      </c>
      <c r="L73" s="38">
        <f>L71-L72</f>
        <v/>
      </c>
      <c r="M73" s="38">
        <f>M71-M72</f>
        <v/>
      </c>
      <c r="N73" s="36">
        <f>N71-N72</f>
        <v/>
      </c>
      <c r="O73" s="37">
        <f>O71-O72</f>
        <v/>
      </c>
      <c r="P73" s="37">
        <f>P71-P72</f>
        <v/>
      </c>
      <c r="R73" s="38">
        <f>R71-R72</f>
        <v/>
      </c>
      <c r="S73" s="38">
        <f>S71-S72</f>
        <v/>
      </c>
      <c r="T73" s="38">
        <f>T71-T72</f>
        <v/>
      </c>
      <c r="U73" s="38">
        <f>U71-U72</f>
        <v/>
      </c>
      <c r="V73" s="38">
        <f>V71-V72</f>
        <v/>
      </c>
      <c r="W73" s="38">
        <f>W71-W72</f>
        <v/>
      </c>
      <c r="X73" s="38">
        <f>X71-X72</f>
        <v/>
      </c>
      <c r="Y73" s="38">
        <f>Y71-Y72</f>
        <v/>
      </c>
      <c r="Z73" s="38">
        <f>Z71-Z72</f>
        <v/>
      </c>
      <c r="AA73" s="38">
        <f>AA71-AA72</f>
        <v/>
      </c>
      <c r="AB73" s="38">
        <f>AB71-AB72</f>
        <v/>
      </c>
      <c r="AC73" s="38">
        <f>AC71-AC72</f>
        <v/>
      </c>
      <c r="AD73" s="38">
        <f>AD71-AD72</f>
        <v/>
      </c>
      <c r="AE73" s="38">
        <f>AE71-AE72</f>
        <v/>
      </c>
      <c r="AF73" s="38">
        <f>AF71-AF72</f>
        <v/>
      </c>
      <c r="AG73" s="38">
        <f>AG71-AG72</f>
        <v/>
      </c>
      <c r="AH73" s="38">
        <f>AH71-AH72</f>
        <v/>
      </c>
      <c r="AI73" s="38">
        <f>AI71-AI72</f>
        <v/>
      </c>
      <c r="AJ73" s="38">
        <f>AJ71-AJ72</f>
        <v/>
      </c>
      <c r="AK73" s="38">
        <f>AK71-AK72</f>
        <v/>
      </c>
      <c r="AL73" s="38">
        <f>AL71-AL72</f>
        <v/>
      </c>
      <c r="AM73" s="38">
        <f>AM71-AM72</f>
        <v/>
      </c>
      <c r="AN73" s="38">
        <f>AN71-AN72</f>
        <v/>
      </c>
      <c r="AO73" s="38">
        <f>AO71-AO72</f>
        <v/>
      </c>
      <c r="AP73" s="38">
        <f>AP71-AP72</f>
        <v/>
      </c>
      <c r="AQ73" s="38">
        <f>AQ71-AQ72</f>
        <v/>
      </c>
      <c r="AR73" s="38">
        <f>AR71-AR72</f>
        <v/>
      </c>
      <c r="AS73" s="38">
        <f>AS71-AS72</f>
        <v/>
      </c>
      <c r="AT73" s="38">
        <f>AT71-AT72</f>
        <v/>
      </c>
      <c r="AU73" s="38">
        <f>AU71-AU72</f>
        <v/>
      </c>
      <c r="AV73" s="38">
        <f>AV71-AV72</f>
        <v/>
      </c>
      <c r="AW73" s="38">
        <f>AW71-AW72</f>
        <v/>
      </c>
      <c r="AX73" s="38">
        <f>AX71-AX72</f>
        <v/>
      </c>
      <c r="AY73" s="38">
        <f>AY71-AY72</f>
        <v/>
      </c>
      <c r="AZ73" s="38">
        <f>AZ71-AZ72</f>
        <v/>
      </c>
      <c r="BA73" s="38">
        <f>BA71-BA72</f>
        <v/>
      </c>
      <c r="BB73" s="38">
        <f>BB71-BB72</f>
        <v/>
      </c>
      <c r="BC73" s="38">
        <f>BC71-BC72</f>
        <v/>
      </c>
      <c r="BD73" s="38">
        <f>BD71-BD72</f>
        <v/>
      </c>
      <c r="BE73" s="38">
        <f>BE71-BE72</f>
        <v/>
      </c>
      <c r="BF73" s="38">
        <f>BF71-BF72</f>
        <v/>
      </c>
      <c r="BG73" s="38">
        <f>BG71-BG72</f>
        <v/>
      </c>
      <c r="BH73" s="37">
        <f>BH71-BH72</f>
        <v/>
      </c>
      <c r="BI73" s="37">
        <f>BI71-BI72</f>
        <v/>
      </c>
      <c r="BJ73" s="37">
        <f>BJ71-BJ72</f>
        <v/>
      </c>
      <c r="BK73" s="37">
        <f>BK71-BK72</f>
        <v/>
      </c>
      <c r="BL73" s="37">
        <f>BL71-BL72</f>
        <v/>
      </c>
      <c r="BM73" s="37">
        <f>BM71-BM72</f>
        <v/>
      </c>
      <c r="BN73" s="37">
        <f>BN71-BN72</f>
        <v/>
      </c>
      <c r="BO73" s="37">
        <f>BO71-BO72</f>
        <v/>
      </c>
      <c r="BP73" s="37">
        <f>BP71-BP72</f>
        <v/>
      </c>
      <c r="BQ73" s="37">
        <f>BQ71-BQ72</f>
        <v/>
      </c>
      <c r="BR73" s="30" t="inlineStr">
        <is>
          <t>利息净额=收入−支出。</t>
        </is>
      </c>
    </row>
    <row r="74">
      <c r="A74" s="4" t="inlineStr">
        <is>
          <t>P&amp;L</t>
        </is>
      </c>
      <c r="B74" s="7" t="inlineStr">
        <is>
          <t>Other income / (expense), net</t>
        </is>
      </c>
      <c r="C74" s="4" t="inlineStr">
        <is>
          <t>$000</t>
        </is>
      </c>
      <c r="D74" s="38">
        <f>D75-D69-D73</f>
        <v/>
      </c>
      <c r="E74" s="38">
        <f>E75-E69-E73</f>
        <v/>
      </c>
      <c r="F74" s="38">
        <f>F75-F69-F73</f>
        <v/>
      </c>
      <c r="G74" s="38">
        <f>G75-G69-G73</f>
        <v/>
      </c>
      <c r="H74" s="38">
        <f>H75-H69-H73</f>
        <v/>
      </c>
      <c r="I74" s="38">
        <f>I75-I69-I73</f>
        <v/>
      </c>
      <c r="J74" s="38">
        <f>J75-J69-J73</f>
        <v/>
      </c>
      <c r="K74" s="38">
        <f>K75-K69-K73</f>
        <v/>
      </c>
      <c r="L74" s="38">
        <f>L75-L69-L73</f>
        <v/>
      </c>
      <c r="M74" s="38">
        <f>M75-M69-M73</f>
        <v/>
      </c>
      <c r="N74" s="36">
        <f>BF74+BG74+BH74+BI74</f>
        <v/>
      </c>
      <c r="O74" s="37">
        <f>BJ74+BK74+BL74+BM74</f>
        <v/>
      </c>
      <c r="P74" s="37">
        <f>BN74+BO74+BP74+BQ74</f>
        <v/>
      </c>
      <c r="R74" s="38">
        <f>R75-R69-R73</f>
        <v/>
      </c>
      <c r="S74" s="38">
        <f>S75-S69-S73</f>
        <v/>
      </c>
      <c r="T74" s="38">
        <f>T75-T69-T73</f>
        <v/>
      </c>
      <c r="U74" s="38">
        <f>U75-U69-U73</f>
        <v/>
      </c>
      <c r="V74" s="38">
        <f>V75-V69-V73</f>
        <v/>
      </c>
      <c r="W74" s="38">
        <f>W75-W69-W73</f>
        <v/>
      </c>
      <c r="X74" s="38">
        <f>X75-X69-X73</f>
        <v/>
      </c>
      <c r="Y74" s="38">
        <f>Y75-Y69-Y73</f>
        <v/>
      </c>
      <c r="Z74" s="38">
        <f>Z75-Z69-Z73</f>
        <v/>
      </c>
      <c r="AA74" s="38">
        <f>AA75-AA69-AA73</f>
        <v/>
      </c>
      <c r="AB74" s="38">
        <f>AB75-AB69-AB73</f>
        <v/>
      </c>
      <c r="AC74" s="38">
        <f>AC75-AC69-AC73</f>
        <v/>
      </c>
      <c r="AD74" s="38">
        <f>AD75-AD69-AD73</f>
        <v/>
      </c>
      <c r="AE74" s="38">
        <f>AE75-AE69-AE73</f>
        <v/>
      </c>
      <c r="AF74" s="38">
        <f>AF75-AF69-AF73</f>
        <v/>
      </c>
      <c r="AG74" s="38">
        <f>AG75-AG69-AG73</f>
        <v/>
      </c>
      <c r="AH74" s="38">
        <f>AH75-AH69-AH73</f>
        <v/>
      </c>
      <c r="AI74" s="38">
        <f>AI75-AI69-AI73</f>
        <v/>
      </c>
      <c r="AJ74" s="38">
        <f>AJ75-AJ69-AJ73</f>
        <v/>
      </c>
      <c r="AK74" s="38">
        <f>AK75-AK69-AK73</f>
        <v/>
      </c>
      <c r="AL74" s="38">
        <f>AL75-AL69-AL73</f>
        <v/>
      </c>
      <c r="AM74" s="38">
        <f>AM75-AM69-AM73</f>
        <v/>
      </c>
      <c r="AN74" s="38">
        <f>AN75-AN69-AN73</f>
        <v/>
      </c>
      <c r="AO74" s="38">
        <f>AO75-AO69-AO73</f>
        <v/>
      </c>
      <c r="AP74" s="38">
        <f>AP75-AP69-AP73</f>
        <v/>
      </c>
      <c r="AQ74" s="38">
        <f>AQ75-AQ69-AQ73</f>
        <v/>
      </c>
      <c r="AR74" s="38">
        <f>AR75-AR69-AR73</f>
        <v/>
      </c>
      <c r="AS74" s="38">
        <f>AS75-AS69-AS73</f>
        <v/>
      </c>
      <c r="AT74" s="38">
        <f>AT75-AT69-AT73</f>
        <v/>
      </c>
      <c r="AU74" s="38">
        <f>AU75-AU69-AU73</f>
        <v/>
      </c>
      <c r="AV74" s="38">
        <f>AV75-AV69-AV73</f>
        <v/>
      </c>
      <c r="AW74" s="38">
        <f>AW75-AW69-AW73</f>
        <v/>
      </c>
      <c r="AX74" s="38">
        <f>AX75-AX69-AX73</f>
        <v/>
      </c>
      <c r="AY74" s="38">
        <f>AY75-AY69-AY73</f>
        <v/>
      </c>
      <c r="AZ74" s="38">
        <f>AZ75-AZ69-AZ73</f>
        <v/>
      </c>
      <c r="BA74" s="38">
        <f>BA75-BA69-BA73</f>
        <v/>
      </c>
      <c r="BB74" s="38">
        <f>BB75-BB69-BB73</f>
        <v/>
      </c>
      <c r="BC74" s="38">
        <f>BC75-BC69-BC73</f>
        <v/>
      </c>
      <c r="BD74" s="38">
        <f>BD75-BD69-BD73</f>
        <v/>
      </c>
      <c r="BE74" s="38">
        <f>BE75-BE69-BE73</f>
        <v/>
      </c>
      <c r="BF74" s="38">
        <f>BF75-BF69-BF73</f>
        <v/>
      </c>
      <c r="BG74" s="38">
        <f>BG75-BG69-BG73</f>
        <v/>
      </c>
      <c r="BH74" s="37">
        <f>BH50</f>
        <v/>
      </c>
      <c r="BI74" s="37">
        <f>BI50</f>
        <v/>
      </c>
      <c r="BJ74" s="37">
        <f>BJ50</f>
        <v/>
      </c>
      <c r="BK74" s="37">
        <f>BK50</f>
        <v/>
      </c>
      <c r="BL74" s="37">
        <f>BL50</f>
        <v/>
      </c>
      <c r="BM74" s="37">
        <f>BM50</f>
        <v/>
      </c>
      <c r="BN74" s="37">
        <f>BN50</f>
        <v/>
      </c>
      <c r="BO74" s="37">
        <f>BO50</f>
        <v/>
      </c>
      <c r="BP74" s="37">
        <f>BP50</f>
        <v/>
      </c>
      <c r="BQ74" s="37">
        <f>BQ50</f>
        <v/>
      </c>
      <c r="BR74" s="30" t="inlineStr">
        <is>
          <t>其他。历史=EBT−OI−利息净额（配平）；预测为假设。</t>
        </is>
      </c>
    </row>
    <row r="75">
      <c r="A75" s="4" t="inlineStr">
        <is>
          <t>P&amp;L</t>
        </is>
      </c>
      <c r="B75" s="7" t="inlineStr">
        <is>
          <t>Income before tax</t>
        </is>
      </c>
      <c r="C75" s="4" t="inlineStr">
        <is>
          <t>$000</t>
        </is>
      </c>
      <c r="D75" s="35" t="n">
        <v>63690</v>
      </c>
      <c r="E75" s="35" t="n">
        <v>-33998</v>
      </c>
      <c r="F75" s="35" t="n">
        <v>-32852</v>
      </c>
      <c r="G75" s="35" t="n">
        <v>-32484</v>
      </c>
      <c r="H75" s="35" t="n">
        <v>-114852</v>
      </c>
      <c r="I75" s="35" t="n">
        <v>47870</v>
      </c>
      <c r="J75" s="35" t="n">
        <v>174198</v>
      </c>
      <c r="K75" s="35" t="n">
        <v>-63810</v>
      </c>
      <c r="L75" s="35" t="n">
        <v>-238717</v>
      </c>
      <c r="M75" s="35" t="n">
        <v>-140894</v>
      </c>
      <c r="N75" s="36">
        <f>N69+N73+N74</f>
        <v/>
      </c>
      <c r="O75" s="37">
        <f>O69+O73+O74</f>
        <v/>
      </c>
      <c r="P75" s="37">
        <f>P69+P73+P74</f>
        <v/>
      </c>
      <c r="R75" s="35" t="n">
        <v>21674</v>
      </c>
      <c r="S75" s="35" t="n">
        <v>22662</v>
      </c>
      <c r="T75" s="35" t="n">
        <v>10763</v>
      </c>
      <c r="U75" s="35" t="n">
        <v>8591</v>
      </c>
      <c r="V75" s="35" t="n">
        <v>10484</v>
      </c>
      <c r="W75" s="35" t="n">
        <v>-18550</v>
      </c>
      <c r="X75" s="35" t="n">
        <v>-15443</v>
      </c>
      <c r="Y75" s="35" t="n">
        <v>-10489</v>
      </c>
      <c r="Z75" s="35" t="n">
        <v>-17</v>
      </c>
      <c r="AA75" s="35" t="n">
        <v>-3197</v>
      </c>
      <c r="AB75" s="35" t="n">
        <v>-15985</v>
      </c>
      <c r="AC75" s="35" t="n">
        <v>-13653</v>
      </c>
      <c r="AD75" s="35" t="n">
        <v>-11313</v>
      </c>
      <c r="AE75" s="35" t="n">
        <v>-5642</v>
      </c>
      <c r="AF75" s="35" t="n">
        <v>-4740</v>
      </c>
      <c r="AG75" s="35" t="n">
        <v>-10789</v>
      </c>
      <c r="AH75" s="35" t="n">
        <v>-22205</v>
      </c>
      <c r="AI75" s="35" t="n">
        <v>-25008</v>
      </c>
      <c r="AJ75" s="35" t="n">
        <v>-38836</v>
      </c>
      <c r="AK75" s="35" t="n">
        <v>-28803</v>
      </c>
      <c r="AL75" s="35" t="n">
        <v>5608</v>
      </c>
      <c r="AM75" s="35" t="n">
        <v>-7277</v>
      </c>
      <c r="AN75" s="35" t="n">
        <v>21060</v>
      </c>
      <c r="AO75" s="35" t="n">
        <v>28479</v>
      </c>
      <c r="AP75" s="35" t="n">
        <v>45039</v>
      </c>
      <c r="AQ75" s="35" t="n">
        <v>43852</v>
      </c>
      <c r="AR75" s="35" t="n">
        <v>44594</v>
      </c>
      <c r="AS75" s="35" t="n">
        <v>40713</v>
      </c>
      <c r="AT75" s="35" t="n">
        <v>25099</v>
      </c>
      <c r="AU75" s="35" t="n">
        <v>-4760</v>
      </c>
      <c r="AV75" s="35" t="n">
        <v>-41518</v>
      </c>
      <c r="AW75" s="35" t="n">
        <v>-42631</v>
      </c>
      <c r="AX75" s="35" t="n">
        <v>-74071</v>
      </c>
      <c r="AY75" s="35" t="n">
        <v>-41326</v>
      </c>
      <c r="AZ75" s="35" t="n">
        <v>-82498</v>
      </c>
      <c r="BA75" s="35" t="n">
        <v>-40822</v>
      </c>
      <c r="BB75" s="35" t="n">
        <v>-49002</v>
      </c>
      <c r="BC75" s="35" t="n">
        <v>-30701</v>
      </c>
      <c r="BD75" s="35" t="n">
        <v>-43388</v>
      </c>
      <c r="BE75" s="35" t="n">
        <v>-17803</v>
      </c>
      <c r="BF75" s="35" t="n">
        <v>-18652</v>
      </c>
      <c r="BG75" s="35" t="n">
        <v>-6550</v>
      </c>
      <c r="BH75" s="37">
        <f>BH69+BH73+BH74</f>
        <v/>
      </c>
      <c r="BI75" s="37">
        <f>BI69+BI73+BI74</f>
        <v/>
      </c>
      <c r="BJ75" s="37">
        <f>BJ69+BJ73+BJ74</f>
        <v/>
      </c>
      <c r="BK75" s="37">
        <f>BK69+BK73+BK74</f>
        <v/>
      </c>
      <c r="BL75" s="37">
        <f>BL69+BL73+BL74</f>
        <v/>
      </c>
      <c r="BM75" s="37">
        <f>BM69+BM73+BM74</f>
        <v/>
      </c>
      <c r="BN75" s="37">
        <f>BN69+BN73+BN74</f>
        <v/>
      </c>
      <c r="BO75" s="37">
        <f>BO69+BO73+BO74</f>
        <v/>
      </c>
      <c r="BP75" s="37">
        <f>BP69+BP73+BP74</f>
        <v/>
      </c>
      <c r="BQ75" s="37">
        <f>BQ69+BQ73+BQ74</f>
        <v/>
      </c>
      <c r="BR75" s="30" t="inlineStr">
        <is>
          <t>税前利润。</t>
        </is>
      </c>
    </row>
    <row r="76">
      <c r="A76" s="4" t="inlineStr">
        <is>
          <t>P&amp;L</t>
        </is>
      </c>
      <c r="B76" s="7" t="inlineStr">
        <is>
          <t>Provision for income taxes</t>
        </is>
      </c>
      <c r="C76" s="4" t="inlineStr">
        <is>
          <t>$000</t>
        </is>
      </c>
      <c r="D76" s="35" t="n">
        <v>2398</v>
      </c>
      <c r="E76" s="35" t="n">
        <v>-24811</v>
      </c>
      <c r="F76" s="35" t="n">
        <v>-6653</v>
      </c>
      <c r="G76" s="35" t="n">
        <v>-12586</v>
      </c>
      <c r="H76" s="35" t="n">
        <v>-16259</v>
      </c>
      <c r="I76" s="35" t="n">
        <v>5901</v>
      </c>
      <c r="J76" s="35" t="n">
        <v>49158</v>
      </c>
      <c r="K76" s="35" t="n">
        <v>9337</v>
      </c>
      <c r="L76" s="35" t="n">
        <v>6481</v>
      </c>
      <c r="M76" s="35" t="n">
        <v>-4213</v>
      </c>
      <c r="N76" s="36">
        <f>BF76+BG76+BH76+BI76</f>
        <v/>
      </c>
      <c r="O76" s="37">
        <f>BJ76+BK76+BL76+BM76</f>
        <v/>
      </c>
      <c r="P76" s="37">
        <f>BN76+BO76+BP76+BQ76</f>
        <v/>
      </c>
      <c r="R76" s="35" t="n">
        <v>993</v>
      </c>
      <c r="S76" s="35" t="n">
        <v>78</v>
      </c>
      <c r="T76" s="35" t="n">
        <v>1084</v>
      </c>
      <c r="U76" s="35" t="n">
        <v>243</v>
      </c>
      <c r="V76" s="35" t="n">
        <v>2021</v>
      </c>
      <c r="W76" s="35" t="n">
        <v>-29515</v>
      </c>
      <c r="X76" s="35" t="n">
        <v>-6276</v>
      </c>
      <c r="Y76" s="35" t="n">
        <v>8959</v>
      </c>
      <c r="Z76" s="35" t="n">
        <v>-1864</v>
      </c>
      <c r="AA76" s="35" t="n">
        <v>11225</v>
      </c>
      <c r="AB76" s="35" t="n">
        <v>-2050</v>
      </c>
      <c r="AC76" s="35" t="n">
        <v>-13964</v>
      </c>
      <c r="AD76" s="35" t="n">
        <v>-6462</v>
      </c>
      <c r="AE76" s="35" t="n">
        <v>-3413</v>
      </c>
      <c r="AF76" s="35" t="n">
        <v>-26</v>
      </c>
      <c r="AG76" s="35" t="n">
        <v>-2685</v>
      </c>
      <c r="AH76" s="35" t="n">
        <v>-6736</v>
      </c>
      <c r="AI76" s="35" t="n">
        <v>-3201</v>
      </c>
      <c r="AJ76" s="35" t="n">
        <v>-2191</v>
      </c>
      <c r="AK76" s="35" t="n">
        <v>-4131</v>
      </c>
      <c r="AL76" s="35" t="n">
        <v>1806</v>
      </c>
      <c r="AM76" s="35" t="n">
        <v>-8010</v>
      </c>
      <c r="AN76" s="35" t="n">
        <v>11802</v>
      </c>
      <c r="AO76" s="35" t="n">
        <v>303</v>
      </c>
      <c r="AP76" s="35" t="n">
        <v>11453</v>
      </c>
      <c r="AQ76" s="35" t="n">
        <v>11886</v>
      </c>
      <c r="AR76" s="35" t="n">
        <v>16186</v>
      </c>
      <c r="AS76" s="35" t="n">
        <v>9633</v>
      </c>
      <c r="AT76" s="35" t="n">
        <v>15566</v>
      </c>
      <c r="AU76" s="35" t="n">
        <v>-409</v>
      </c>
      <c r="AV76" s="35" t="n">
        <v>-1689</v>
      </c>
      <c r="AW76" s="35" t="n">
        <v>-4131</v>
      </c>
      <c r="AX76" s="35" t="n">
        <v>-1762</v>
      </c>
      <c r="AY76" s="35" t="n">
        <v>-2060</v>
      </c>
      <c r="AZ76" s="35" t="n">
        <v>-6713</v>
      </c>
      <c r="BA76" s="35" t="n">
        <v>17016</v>
      </c>
      <c r="BB76" s="35" t="n">
        <v>711</v>
      </c>
      <c r="BC76" s="35" t="n">
        <v>-4115</v>
      </c>
      <c r="BD76" s="35" t="n">
        <v>2097</v>
      </c>
      <c r="BE76" s="35" t="n">
        <v>-2906</v>
      </c>
      <c r="BF76" s="35" t="n">
        <v>26485</v>
      </c>
      <c r="BG76" s="35" t="n">
        <v>-8310</v>
      </c>
      <c r="BH76" s="37">
        <f>IF(BH75&gt;0,BH75*BH46,BH47)</f>
        <v/>
      </c>
      <c r="BI76" s="37">
        <f>IF(BI75&gt;0,BI75*BI46,BI47)</f>
        <v/>
      </c>
      <c r="BJ76" s="37">
        <f>IF(BJ75&gt;0,BJ75*BJ46,BJ47)</f>
        <v/>
      </c>
      <c r="BK76" s="37">
        <f>IF(BK75&gt;0,BK75*BK46,BK47)</f>
        <v/>
      </c>
      <c r="BL76" s="37">
        <f>IF(BL75&gt;0,BL75*BL46,BL47)</f>
        <v/>
      </c>
      <c r="BM76" s="37">
        <f>IF(BM75&gt;0,BM75*BM46,BM47)</f>
        <v/>
      </c>
      <c r="BN76" s="37">
        <f>IF(BN75&gt;0,BN75*BN46,BN47)</f>
        <v/>
      </c>
      <c r="BO76" s="37">
        <f>IF(BO75&gt;0,BO75*BO46,BO47)</f>
        <v/>
      </c>
      <c r="BP76" s="37">
        <f>IF(BP75&gt;0,BP75*BP46,BP47)</f>
        <v/>
      </c>
      <c r="BQ76" s="37">
        <f>IF(BQ75&gt;0,BQ75*BQ46,BQ47)</f>
        <v/>
      </c>
      <c r="BR76" s="30" t="inlineStr">
        <is>
          <t>所得税。Q1'26大额费用$26.5m（递延税资产），Q2'26利益$8.3m。预测：盈利×ETR，亏损取最低税。</t>
        </is>
      </c>
    </row>
    <row r="77">
      <c r="A77" s="4" t="inlineStr">
        <is>
          <t>P&amp;L</t>
        </is>
      </c>
      <c r="B77" s="5" t="inlineStr">
        <is>
          <t>Net income</t>
        </is>
      </c>
      <c r="C77" s="4" t="inlineStr">
        <is>
          <t>$000</t>
        </is>
      </c>
      <c r="D77" s="42">
        <f>D75-D76</f>
        <v/>
      </c>
      <c r="E77" s="42">
        <f>E75-E76</f>
        <v/>
      </c>
      <c r="F77" s="42">
        <f>F75-F76</f>
        <v/>
      </c>
      <c r="G77" s="42">
        <f>G75-G76</f>
        <v/>
      </c>
      <c r="H77" s="42">
        <f>H75-H76</f>
        <v/>
      </c>
      <c r="I77" s="42">
        <f>I75-I76</f>
        <v/>
      </c>
      <c r="J77" s="42">
        <f>J75-J76</f>
        <v/>
      </c>
      <c r="K77" s="42">
        <f>K75-K76</f>
        <v/>
      </c>
      <c r="L77" s="42">
        <f>L75-L76</f>
        <v/>
      </c>
      <c r="M77" s="42">
        <f>M75-M76</f>
        <v/>
      </c>
      <c r="N77" s="42">
        <f>BF77+BG77+BH77+BI77</f>
        <v/>
      </c>
      <c r="O77" s="42">
        <f>BJ77+BK77+BL77+BM77</f>
        <v/>
      </c>
      <c r="P77" s="42">
        <f>BN77+BO77+BP77+BQ77</f>
        <v/>
      </c>
      <c r="R77" s="42">
        <f>R75-R76</f>
        <v/>
      </c>
      <c r="S77" s="42">
        <f>S75-S76</f>
        <v/>
      </c>
      <c r="T77" s="42">
        <f>T75-T76</f>
        <v/>
      </c>
      <c r="U77" s="42">
        <f>U75-U76</f>
        <v/>
      </c>
      <c r="V77" s="42">
        <f>V75-V76</f>
        <v/>
      </c>
      <c r="W77" s="42">
        <f>W75-W76</f>
        <v/>
      </c>
      <c r="X77" s="42">
        <f>X75-X76</f>
        <v/>
      </c>
      <c r="Y77" s="42">
        <f>Y75-Y76</f>
        <v/>
      </c>
      <c r="Z77" s="42">
        <f>Z75-Z76</f>
        <v/>
      </c>
      <c r="AA77" s="42">
        <f>AA75-AA76</f>
        <v/>
      </c>
      <c r="AB77" s="42">
        <f>AB75-AB76</f>
        <v/>
      </c>
      <c r="AC77" s="42">
        <f>AC75-AC76</f>
        <v/>
      </c>
      <c r="AD77" s="42">
        <f>AD75-AD76</f>
        <v/>
      </c>
      <c r="AE77" s="42">
        <f>AE75-AE76</f>
        <v/>
      </c>
      <c r="AF77" s="42">
        <f>AF75-AF76</f>
        <v/>
      </c>
      <c r="AG77" s="42">
        <f>AG75-AG76</f>
        <v/>
      </c>
      <c r="AH77" s="42">
        <f>AH75-AH76</f>
        <v/>
      </c>
      <c r="AI77" s="42">
        <f>AI75-AI76</f>
        <v/>
      </c>
      <c r="AJ77" s="42">
        <f>AJ75-AJ76</f>
        <v/>
      </c>
      <c r="AK77" s="42">
        <f>AK75-AK76</f>
        <v/>
      </c>
      <c r="AL77" s="42">
        <f>AL75-AL76</f>
        <v/>
      </c>
      <c r="AM77" s="42">
        <f>AM75-AM76</f>
        <v/>
      </c>
      <c r="AN77" s="42">
        <f>AN75-AN76</f>
        <v/>
      </c>
      <c r="AO77" s="42">
        <f>AO75-AO76</f>
        <v/>
      </c>
      <c r="AP77" s="42">
        <f>AP75-AP76</f>
        <v/>
      </c>
      <c r="AQ77" s="42">
        <f>AQ75-AQ76</f>
        <v/>
      </c>
      <c r="AR77" s="42">
        <f>AR75-AR76</f>
        <v/>
      </c>
      <c r="AS77" s="42">
        <f>AS75-AS76</f>
        <v/>
      </c>
      <c r="AT77" s="42">
        <f>AT75-AT76</f>
        <v/>
      </c>
      <c r="AU77" s="42">
        <f>AU75-AU76</f>
        <v/>
      </c>
      <c r="AV77" s="42">
        <f>AV75-AV76</f>
        <v/>
      </c>
      <c r="AW77" s="42">
        <f>AW75-AW76</f>
        <v/>
      </c>
      <c r="AX77" s="42">
        <f>AX75-AX76</f>
        <v/>
      </c>
      <c r="AY77" s="42">
        <f>AY75-AY76</f>
        <v/>
      </c>
      <c r="AZ77" s="42">
        <f>AZ75-AZ76</f>
        <v/>
      </c>
      <c r="BA77" s="42">
        <f>BA75-BA76</f>
        <v/>
      </c>
      <c r="BB77" s="42">
        <f>BB75-BB76</f>
        <v/>
      </c>
      <c r="BC77" s="42">
        <f>BC75-BC76</f>
        <v/>
      </c>
      <c r="BD77" s="42">
        <f>BD75-BD76</f>
        <v/>
      </c>
      <c r="BE77" s="42">
        <f>BE75-BE76</f>
        <v/>
      </c>
      <c r="BF77" s="42">
        <f>BF75-BF76</f>
        <v/>
      </c>
      <c r="BG77" s="42">
        <f>BG75-BG76</f>
        <v/>
      </c>
      <c r="BH77" s="42">
        <f>BH75-BH76</f>
        <v/>
      </c>
      <c r="BI77" s="42">
        <f>BI75-BI76</f>
        <v/>
      </c>
      <c r="BJ77" s="42">
        <f>BJ75-BJ76</f>
        <v/>
      </c>
      <c r="BK77" s="42">
        <f>BK75-BK76</f>
        <v/>
      </c>
      <c r="BL77" s="42">
        <f>BL75-BL76</f>
        <v/>
      </c>
      <c r="BM77" s="42">
        <f>BM75-BM76</f>
        <v/>
      </c>
      <c r="BN77" s="42">
        <f>BN75-BN76</f>
        <v/>
      </c>
      <c r="BO77" s="42">
        <f>BO75-BO76</f>
        <v/>
      </c>
      <c r="BP77" s="42">
        <f>BP75-BP76</f>
        <v/>
      </c>
      <c r="BQ77" s="42">
        <f>BQ75-BQ76</f>
        <v/>
      </c>
      <c r="BR77" s="30" t="inlineStr">
        <is>
          <t>净利润=EBT−Tax。无少数股东。</t>
        </is>
      </c>
    </row>
    <row r="78">
      <c r="A78" s="4" t="inlineStr">
        <is>
          <t>P&amp;L</t>
        </is>
      </c>
      <c r="B78" s="7" t="inlineStr">
        <is>
          <t>EPS diluted</t>
        </is>
      </c>
      <c r="C78" s="4" t="inlineStr">
        <is>
          <t>$ / sh</t>
        </is>
      </c>
      <c r="D78" s="50">
        <f>IF(D79=0,0,D77/D79)</f>
        <v/>
      </c>
      <c r="E78" s="50">
        <f>IF(E79=0,0,E77/E79)</f>
        <v/>
      </c>
      <c r="F78" s="50">
        <f>IF(F79=0,0,F77/F79)</f>
        <v/>
      </c>
      <c r="G78" s="50">
        <f>IF(G79=0,0,G77/G79)</f>
        <v/>
      </c>
      <c r="H78" s="50">
        <f>IF(H79=0,0,H77/H79)</f>
        <v/>
      </c>
      <c r="I78" s="50">
        <f>IF(I79=0,0,I77/I79)</f>
        <v/>
      </c>
      <c r="J78" s="50">
        <f>IF(J79=0,0,J77/J79)</f>
        <v/>
      </c>
      <c r="K78" s="50">
        <f>IF(K79=0,0,K77/K79)</f>
        <v/>
      </c>
      <c r="L78" s="50">
        <f>IF(L79=0,0,L77/L79)</f>
        <v/>
      </c>
      <c r="M78" s="50">
        <f>IF(M79=0,0,M77/M79)</f>
        <v/>
      </c>
      <c r="N78" s="32">
        <f>IF(N79=0,0,N77/N79)</f>
        <v/>
      </c>
      <c r="O78" s="33">
        <f>IF(O79=0,0,O77/O79)</f>
        <v/>
      </c>
      <c r="P78" s="33">
        <f>IF(P79=0,0,P77/P79)</f>
        <v/>
      </c>
      <c r="R78" s="50">
        <f>IF(R79=0,0,R77/R79)</f>
        <v/>
      </c>
      <c r="S78" s="50">
        <f>IF(S79=0,0,S77/S79)</f>
        <v/>
      </c>
      <c r="T78" s="50">
        <f>IF(T79=0,0,T77/T79)</f>
        <v/>
      </c>
      <c r="U78" s="50">
        <f>IF(U79=0,0,U77/U79)</f>
        <v/>
      </c>
      <c r="V78" s="50">
        <f>IF(V79=0,0,V77/V79)</f>
        <v/>
      </c>
      <c r="W78" s="50">
        <f>IF(W79=0,0,W77/W79)</f>
        <v/>
      </c>
      <c r="X78" s="50">
        <f>IF(X79=0,0,X77/X79)</f>
        <v/>
      </c>
      <c r="Y78" s="50">
        <f>IF(Y79=0,0,Y77/Y79)</f>
        <v/>
      </c>
      <c r="Z78" s="50">
        <f>IF(Z79=0,0,Z77/Z79)</f>
        <v/>
      </c>
      <c r="AA78" s="50">
        <f>IF(AA79=0,0,AA77/AA79)</f>
        <v/>
      </c>
      <c r="AB78" s="50">
        <f>IF(AB79=0,0,AB77/AB79)</f>
        <v/>
      </c>
      <c r="AC78" s="50">
        <f>IF(AC79=0,0,AC77/AC79)</f>
        <v/>
      </c>
      <c r="AD78" s="50">
        <f>IF(AD79=0,0,AD77/AD79)</f>
        <v/>
      </c>
      <c r="AE78" s="50">
        <f>IF(AE79=0,0,AE77/AE79)</f>
        <v/>
      </c>
      <c r="AF78" s="50">
        <f>IF(AF79=0,0,AF77/AF79)</f>
        <v/>
      </c>
      <c r="AG78" s="50">
        <f>IF(AG79=0,0,AG77/AG79)</f>
        <v/>
      </c>
      <c r="AH78" s="50">
        <f>IF(AH79=0,0,AH77/AH79)</f>
        <v/>
      </c>
      <c r="AI78" s="50">
        <f>IF(AI79=0,0,AI77/AI79)</f>
        <v/>
      </c>
      <c r="AJ78" s="50">
        <f>IF(AJ79=0,0,AJ77/AJ79)</f>
        <v/>
      </c>
      <c r="AK78" s="50">
        <f>IF(AK79=0,0,AK77/AK79)</f>
        <v/>
      </c>
      <c r="AL78" s="50">
        <f>IF(AL79=0,0,AL77/AL79)</f>
        <v/>
      </c>
      <c r="AM78" s="50">
        <f>IF(AM79=0,0,AM77/AM79)</f>
        <v/>
      </c>
      <c r="AN78" s="50">
        <f>IF(AN79=0,0,AN77/AN79)</f>
        <v/>
      </c>
      <c r="AO78" s="50">
        <f>IF(AO79=0,0,AO77/AO79)</f>
        <v/>
      </c>
      <c r="AP78" s="50">
        <f>IF(AP79=0,0,AP77/AP79)</f>
        <v/>
      </c>
      <c r="AQ78" s="50">
        <f>IF(AQ79=0,0,AQ77/AQ79)</f>
        <v/>
      </c>
      <c r="AR78" s="50">
        <f>IF(AR79=0,0,AR77/AR79)</f>
        <v/>
      </c>
      <c r="AS78" s="50">
        <f>IF(AS79=0,0,AS77/AS79)</f>
        <v/>
      </c>
      <c r="AT78" s="50">
        <f>IF(AT79=0,0,AT77/AT79)</f>
        <v/>
      </c>
      <c r="AU78" s="50">
        <f>IF(AU79=0,0,AU77/AU79)</f>
        <v/>
      </c>
      <c r="AV78" s="50">
        <f>IF(AV79=0,0,AV77/AV79)</f>
        <v/>
      </c>
      <c r="AW78" s="50">
        <f>IF(AW79=0,0,AW77/AW79)</f>
        <v/>
      </c>
      <c r="AX78" s="50">
        <f>IF(AX79=0,0,AX77/AX79)</f>
        <v/>
      </c>
      <c r="AY78" s="50">
        <f>IF(AY79=0,0,AY77/AY79)</f>
        <v/>
      </c>
      <c r="AZ78" s="50">
        <f>IF(AZ79=0,0,AZ77/AZ79)</f>
        <v/>
      </c>
      <c r="BA78" s="50">
        <f>IF(BA79=0,0,BA77/BA79)</f>
        <v/>
      </c>
      <c r="BB78" s="50">
        <f>IF(BB79=0,0,BB77/BB79)</f>
        <v/>
      </c>
      <c r="BC78" s="50">
        <f>IF(BC79=0,0,BC77/BC79)</f>
        <v/>
      </c>
      <c r="BD78" s="50">
        <f>IF(BD79=0,0,BD77/BD79)</f>
        <v/>
      </c>
      <c r="BE78" s="50">
        <f>IF(BE79=0,0,BE77/BE79)</f>
        <v/>
      </c>
      <c r="BF78" s="50">
        <f>IF(BF79=0,0,BF77/BF79)</f>
        <v/>
      </c>
      <c r="BG78" s="50">
        <f>IF(BG79=0,0,BG77/BG79)</f>
        <v/>
      </c>
      <c r="BH78" s="33">
        <f>IF(BH79=0,0,BH77/BH79)</f>
        <v/>
      </c>
      <c r="BI78" s="33">
        <f>IF(BI79=0,0,BI77/BI79)</f>
        <v/>
      </c>
      <c r="BJ78" s="33">
        <f>IF(BJ79=0,0,BJ77/BJ79)</f>
        <v/>
      </c>
      <c r="BK78" s="33">
        <f>IF(BK79=0,0,BK77/BK79)</f>
        <v/>
      </c>
      <c r="BL78" s="33">
        <f>IF(BL79=0,0,BL77/BL79)</f>
        <v/>
      </c>
      <c r="BM78" s="33">
        <f>IF(BM79=0,0,BM77/BM79)</f>
        <v/>
      </c>
      <c r="BN78" s="33">
        <f>IF(BN79=0,0,BN77/BN79)</f>
        <v/>
      </c>
      <c r="BO78" s="33">
        <f>IF(BO79=0,0,BO77/BO79)</f>
        <v/>
      </c>
      <c r="BP78" s="33">
        <f>IF(BP79=0,0,BP77/BP79)</f>
        <v/>
      </c>
      <c r="BQ78" s="33">
        <f>IF(BQ79=0,0,BQ77/BQ79)</f>
        <v/>
      </c>
      <c r="BR78" s="30" t="inlineStr">
        <is>
          <t>稀释EPS=NI/稀释股本。</t>
        </is>
      </c>
    </row>
    <row r="79">
      <c r="A79" s="4" t="inlineStr">
        <is>
          <t>P&amp;L</t>
        </is>
      </c>
      <c r="B79" s="7" t="inlineStr">
        <is>
          <t>Weighted-avg diluted shares</t>
        </is>
      </c>
      <c r="C79" s="4" t="inlineStr">
        <is>
          <t>k</t>
        </is>
      </c>
      <c r="D79" s="35" t="n">
        <v>67653</v>
      </c>
      <c r="E79" s="35" t="n">
        <v>66252</v>
      </c>
      <c r="F79" s="35" t="n">
        <v>68490</v>
      </c>
      <c r="G79" s="35" t="n">
        <v>71005</v>
      </c>
      <c r="H79" s="35" t="n">
        <v>73133</v>
      </c>
      <c r="I79" s="35" t="n">
        <v>79679</v>
      </c>
      <c r="J79" s="35" t="n">
        <v>80852</v>
      </c>
      <c r="K79" s="35" t="n">
        <v>80719</v>
      </c>
      <c r="L79" s="35" t="n">
        <v>83600</v>
      </c>
      <c r="M79" s="35" t="n">
        <v>86588</v>
      </c>
      <c r="N79" s="36">
        <f>BI79</f>
        <v/>
      </c>
      <c r="O79" s="37">
        <f>BM79</f>
        <v/>
      </c>
      <c r="P79" s="37">
        <f>BQ79</f>
        <v/>
      </c>
      <c r="R79" s="35" t="n">
        <v>66643</v>
      </c>
      <c r="S79" s="35" t="n">
        <v>67520</v>
      </c>
      <c r="T79" s="35" t="n">
        <v>67832</v>
      </c>
      <c r="U79" s="35" t="n">
        <v>67653</v>
      </c>
      <c r="V79" s="35" t="n">
        <v>69149</v>
      </c>
      <c r="W79" s="35" t="n">
        <v>69645</v>
      </c>
      <c r="X79" s="35" t="n">
        <v>66712</v>
      </c>
      <c r="Y79" s="35" t="n">
        <v>66252</v>
      </c>
      <c r="Z79" s="35" t="n">
        <v>70440</v>
      </c>
      <c r="AA79" s="35" t="n">
        <v>68335</v>
      </c>
      <c r="AB79" s="35" t="n">
        <v>68742</v>
      </c>
      <c r="AC79" s="35" t="n">
        <v>68490</v>
      </c>
      <c r="AD79" s="35" t="n">
        <v>69968</v>
      </c>
      <c r="AE79" s="35" t="n">
        <v>70917</v>
      </c>
      <c r="AF79" s="35" t="n">
        <v>71366</v>
      </c>
      <c r="AG79" s="35" t="n">
        <v>71005</v>
      </c>
      <c r="AH79" s="35" t="n">
        <v>72039</v>
      </c>
      <c r="AI79" s="35" t="n">
        <v>72740</v>
      </c>
      <c r="AJ79" s="35" t="n">
        <v>73402</v>
      </c>
      <c r="AK79" s="35" t="n">
        <v>73133</v>
      </c>
      <c r="AL79" s="35" t="n">
        <v>78283</v>
      </c>
      <c r="AM79" s="35" t="n">
        <v>79026</v>
      </c>
      <c r="AN79" s="35" t="n">
        <v>79815</v>
      </c>
      <c r="AO79" s="35" t="n">
        <v>79679</v>
      </c>
      <c r="AP79" s="35" t="n">
        <v>80641</v>
      </c>
      <c r="AQ79" s="35" t="n">
        <v>80279</v>
      </c>
      <c r="AR79" s="35" t="n">
        <v>80060</v>
      </c>
      <c r="AS79" s="35" t="n">
        <v>80852</v>
      </c>
      <c r="AT79" s="35" t="n">
        <v>81338</v>
      </c>
      <c r="AU79" s="35" t="n">
        <v>80446</v>
      </c>
      <c r="AV79" s="35" t="n">
        <v>81249</v>
      </c>
      <c r="AW79" s="35" t="n">
        <v>80719</v>
      </c>
      <c r="AX79" s="35" t="n">
        <v>82349</v>
      </c>
      <c r="AY79" s="35" t="n">
        <v>83477</v>
      </c>
      <c r="AZ79" s="35" t="n">
        <v>84074</v>
      </c>
      <c r="BA79" s="35" t="n">
        <v>83600</v>
      </c>
      <c r="BB79" s="35" t="n">
        <v>85271</v>
      </c>
      <c r="BC79" s="35" t="n">
        <v>86626</v>
      </c>
      <c r="BD79" s="35" t="n">
        <v>87186</v>
      </c>
      <c r="BE79" s="35" t="n">
        <v>86588</v>
      </c>
      <c r="BF79" s="35" t="n">
        <v>87595</v>
      </c>
      <c r="BG79" s="35" t="n">
        <v>97333</v>
      </c>
      <c r="BH79" s="43" t="n">
        <v>99000</v>
      </c>
      <c r="BI79" s="43" t="n">
        <v>99500</v>
      </c>
      <c r="BJ79" s="43" t="n">
        <v>100000</v>
      </c>
      <c r="BK79" s="43" t="n">
        <v>100500</v>
      </c>
      <c r="BL79" s="43" t="n">
        <v>101000</v>
      </c>
      <c r="BM79" s="43" t="n">
        <v>101500</v>
      </c>
      <c r="BN79" s="43" t="n">
        <v>102000</v>
      </c>
      <c r="BO79" s="43" t="n">
        <v>102500</v>
      </c>
      <c r="BP79" s="43" t="n">
        <v>103000</v>
      </c>
      <c r="BQ79" s="43" t="n">
        <v>103500</v>
      </c>
      <c r="BR79" s="30" t="inlineStr">
        <is>
          <t>稀释加权平均股本。亏损期=基本股本。</t>
        </is>
      </c>
    </row>
    <row r="81">
      <c r="A81" s="51" t="inlineStr">
        <is>
          <t>IV.  CONSOLIDATED BALANCE SHEET  （资产负债表）</t>
        </is>
      </c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</row>
    <row r="82">
      <c r="A82" s="4" t="inlineStr">
        <is>
          <t>BS</t>
        </is>
      </c>
      <c r="B82" s="7" t="inlineStr">
        <is>
          <t>Cash &amp; cash equivalents</t>
        </is>
      </c>
      <c r="C82" s="4" t="inlineStr">
        <is>
          <t>$000</t>
        </is>
      </c>
      <c r="D82" s="49" t="n">
        <v>81086</v>
      </c>
      <c r="E82" s="49" t="n">
        <v>71872</v>
      </c>
      <c r="F82" s="49" t="n">
        <v>73142</v>
      </c>
      <c r="G82" s="49" t="n">
        <v>92708</v>
      </c>
      <c r="H82" s="49" t="n">
        <v>148901</v>
      </c>
      <c r="I82" s="49" t="n">
        <v>130572</v>
      </c>
      <c r="J82" s="49" t="n">
        <v>187353</v>
      </c>
      <c r="K82" s="49" t="n">
        <v>187288</v>
      </c>
      <c r="L82" s="49" t="n">
        <v>118575</v>
      </c>
      <c r="M82" s="49" t="n">
        <v>72806</v>
      </c>
      <c r="N82" s="36">
        <f>BI82</f>
        <v/>
      </c>
      <c r="O82" s="37">
        <f>BM82</f>
        <v/>
      </c>
      <c r="P82" s="37">
        <f>BQ82</f>
        <v/>
      </c>
      <c r="R82" s="49" t="n">
        <v>76840</v>
      </c>
      <c r="S82" s="49" t="n">
        <v>147582</v>
      </c>
      <c r="T82" s="49" t="n">
        <v>56076</v>
      </c>
      <c r="U82" s="49" t="n">
        <v>81086</v>
      </c>
      <c r="V82" s="49" t="n">
        <v>89121</v>
      </c>
      <c r="W82" s="49" t="n">
        <v>87568</v>
      </c>
      <c r="X82" s="49" t="n">
        <v>71576</v>
      </c>
      <c r="Y82" s="49" t="n">
        <v>71872</v>
      </c>
      <c r="Z82" s="49" t="n">
        <v>55645</v>
      </c>
      <c r="AA82" s="49" t="n">
        <v>74059</v>
      </c>
      <c r="AB82" s="49" t="n">
        <v>67185</v>
      </c>
      <c r="AC82" s="49" t="n">
        <v>73142</v>
      </c>
      <c r="AD82" s="49" t="n">
        <v>71102</v>
      </c>
      <c r="AE82" s="49" t="n">
        <v>66629</v>
      </c>
      <c r="AF82" s="49" t="n">
        <v>66115</v>
      </c>
      <c r="AG82" s="49" t="n">
        <v>92708</v>
      </c>
      <c r="AH82" s="49" t="n">
        <v>98373</v>
      </c>
      <c r="AI82" s="49" t="n">
        <v>107362</v>
      </c>
      <c r="AJ82" s="49" t="n">
        <v>96570</v>
      </c>
      <c r="AK82" s="49" t="n">
        <v>148901</v>
      </c>
      <c r="AL82" s="49" t="n">
        <v>148095</v>
      </c>
      <c r="AM82" s="49" t="n">
        <v>130312</v>
      </c>
      <c r="AN82" s="49" t="n">
        <v>169424</v>
      </c>
      <c r="AO82" s="49" t="n">
        <v>130572</v>
      </c>
      <c r="AP82" s="49" t="n">
        <v>151111</v>
      </c>
      <c r="AQ82" s="49" t="n">
        <v>211363</v>
      </c>
      <c r="AR82" s="49" t="n">
        <v>181496</v>
      </c>
      <c r="AS82" s="49" t="n">
        <v>187353</v>
      </c>
      <c r="AT82" s="49" t="n">
        <v>207850</v>
      </c>
      <c r="AU82" s="49" t="n">
        <v>224579</v>
      </c>
      <c r="AV82" s="49" t="n">
        <v>187028</v>
      </c>
      <c r="AW82" s="49" t="n">
        <v>187288</v>
      </c>
      <c r="AX82" s="49" t="n">
        <v>191882</v>
      </c>
      <c r="AY82" s="49" t="n">
        <v>185108</v>
      </c>
      <c r="AZ82" s="49" t="n">
        <v>148476</v>
      </c>
      <c r="BA82" s="49" t="n">
        <v>118575</v>
      </c>
      <c r="BB82" s="49" t="n">
        <v>102773</v>
      </c>
      <c r="BC82" s="49" t="n">
        <v>108618</v>
      </c>
      <c r="BD82" s="49" t="n">
        <v>111859</v>
      </c>
      <c r="BE82" s="49" t="n">
        <v>72806</v>
      </c>
      <c r="BF82" s="49" t="n">
        <v>61077</v>
      </c>
      <c r="BG82" s="49" t="n">
        <v>64814</v>
      </c>
      <c r="BH82" s="42">
        <f>BH123</f>
        <v/>
      </c>
      <c r="BI82" s="42">
        <f>BI123</f>
        <v/>
      </c>
      <c r="BJ82" s="42">
        <f>BJ123</f>
        <v/>
      </c>
      <c r="BK82" s="42">
        <f>BK123</f>
        <v/>
      </c>
      <c r="BL82" s="42">
        <f>BL123</f>
        <v/>
      </c>
      <c r="BM82" s="42">
        <f>BM123</f>
        <v/>
      </c>
      <c r="BN82" s="42">
        <f>BN123</f>
        <v/>
      </c>
      <c r="BO82" s="42">
        <f>BO123</f>
        <v/>
      </c>
      <c r="BP82" s="42">
        <f>BP123</f>
        <v/>
      </c>
      <c r="BQ82" s="42">
        <f>BQ123</f>
        <v/>
      </c>
      <c r="BR82" s="30" t="inlineStr">
        <is>
          <t>货币资金。历史硬编码；预测=CFS期末现金。Q2'26 $64.8m（偏紧，当季提取循环贷$20m）。</t>
        </is>
      </c>
    </row>
    <row r="83">
      <c r="A83" s="4" t="inlineStr">
        <is>
          <t>BS</t>
        </is>
      </c>
      <c r="B83" s="7" t="inlineStr">
        <is>
          <t>Accounts receivable</t>
        </is>
      </c>
      <c r="C83" s="4" t="inlineStr">
        <is>
          <t>$000</t>
        </is>
      </c>
      <c r="D83" s="35" t="n">
        <v>50487</v>
      </c>
      <c r="E83" s="35" t="n">
        <v>66099</v>
      </c>
      <c r="F83" s="35" t="n">
        <v>59491</v>
      </c>
      <c r="G83" s="35" t="n">
        <v>50411</v>
      </c>
      <c r="H83" s="35" t="n">
        <v>67442</v>
      </c>
      <c r="I83" s="35" t="n">
        <v>119724</v>
      </c>
      <c r="J83" s="35" t="n">
        <v>170971</v>
      </c>
      <c r="K83" s="35" t="n">
        <v>170619</v>
      </c>
      <c r="L83" s="35" t="n">
        <v>85464</v>
      </c>
      <c r="M83" s="35" t="n">
        <v>46122</v>
      </c>
      <c r="N83" s="36">
        <f>BI83</f>
        <v/>
      </c>
      <c r="O83" s="37">
        <f>BM83</f>
        <v/>
      </c>
      <c r="P83" s="37">
        <f>BQ83</f>
        <v/>
      </c>
      <c r="R83" s="35" t="n">
        <v>41040</v>
      </c>
      <c r="S83" s="35" t="n">
        <v>44340</v>
      </c>
      <c r="T83" s="35" t="n">
        <v>49672</v>
      </c>
      <c r="U83" s="35" t="n">
        <v>50487</v>
      </c>
      <c r="V83" s="35" t="n">
        <v>57836</v>
      </c>
      <c r="W83" s="35" t="n">
        <v>82695</v>
      </c>
      <c r="X83" s="35" t="n">
        <v>75618</v>
      </c>
      <c r="Y83" s="35" t="n">
        <v>66099</v>
      </c>
      <c r="Z83" s="35" t="n">
        <v>90632</v>
      </c>
      <c r="AA83" s="35" t="n">
        <v>83648</v>
      </c>
      <c r="AB83" s="35" t="n">
        <v>58633</v>
      </c>
      <c r="AC83" s="35" t="n">
        <v>59491</v>
      </c>
      <c r="AD83" s="35" t="n">
        <v>59639</v>
      </c>
      <c r="AE83" s="35" t="n">
        <v>56618</v>
      </c>
      <c r="AF83" s="35" t="n">
        <v>56339</v>
      </c>
      <c r="AG83" s="35" t="n">
        <v>50411</v>
      </c>
      <c r="AH83" s="35" t="n">
        <v>44796</v>
      </c>
      <c r="AI83" s="35" t="n">
        <v>41434</v>
      </c>
      <c r="AJ83" s="35" t="n">
        <v>105355</v>
      </c>
      <c r="AK83" s="35" t="n">
        <v>67442</v>
      </c>
      <c r="AL83" s="35" t="n">
        <v>87521</v>
      </c>
      <c r="AM83" s="35" t="n">
        <v>135321</v>
      </c>
      <c r="AN83" s="35" t="n">
        <v>106867</v>
      </c>
      <c r="AO83" s="35" t="n">
        <v>119724</v>
      </c>
      <c r="AP83" s="35" t="n">
        <v>125693</v>
      </c>
      <c r="AQ83" s="35" t="n">
        <v>137065</v>
      </c>
      <c r="AR83" s="35" t="n">
        <v>178072</v>
      </c>
      <c r="AS83" s="35" t="n">
        <v>170971</v>
      </c>
      <c r="AT83" s="35" t="n">
        <v>188733</v>
      </c>
      <c r="AU83" s="35" t="n">
        <v>155834</v>
      </c>
      <c r="AV83" s="35" t="n">
        <v>158232</v>
      </c>
      <c r="AW83" s="35" t="n">
        <v>170619</v>
      </c>
      <c r="AX83" s="35" t="n">
        <v>126230</v>
      </c>
      <c r="AY83" s="35" t="n">
        <v>84940</v>
      </c>
      <c r="AZ83" s="35" t="n">
        <v>47930</v>
      </c>
      <c r="BA83" s="35" t="n">
        <v>85464</v>
      </c>
      <c r="BB83" s="35" t="n">
        <v>98925</v>
      </c>
      <c r="BC83" s="35" t="n">
        <v>105818</v>
      </c>
      <c r="BD83" s="35" t="n">
        <v>52934</v>
      </c>
      <c r="BE83" s="35" t="n">
        <v>46122</v>
      </c>
      <c r="BF83" s="35" t="n">
        <v>40855</v>
      </c>
      <c r="BG83" s="35" t="n">
        <v>51037</v>
      </c>
      <c r="BH83" s="37">
        <f>BH51/BH$11*BH61</f>
        <v/>
      </c>
      <c r="BI83" s="37">
        <f>BI51/BI$11*BI61</f>
        <v/>
      </c>
      <c r="BJ83" s="37">
        <f>BJ51/BJ$11*BJ61</f>
        <v/>
      </c>
      <c r="BK83" s="37">
        <f>BK51/BK$11*BK61</f>
        <v/>
      </c>
      <c r="BL83" s="37">
        <f>BL51/BL$11*BL61</f>
        <v/>
      </c>
      <c r="BM83" s="37">
        <f>BM51/BM$11*BM61</f>
        <v/>
      </c>
      <c r="BN83" s="37">
        <f>BN51/BN$11*BN61</f>
        <v/>
      </c>
      <c r="BO83" s="37">
        <f>BO51/BO$11*BO61</f>
        <v/>
      </c>
      <c r="BP83" s="37">
        <f>BP51/BP$11*BP61</f>
        <v/>
      </c>
      <c r="BQ83" s="37">
        <f>BQ51/BQ$11*BQ61</f>
        <v/>
      </c>
      <c r="BR83" s="30" t="inlineStr">
        <is>
          <t>应收账款。预测=DSO/天数×收入。</t>
        </is>
      </c>
    </row>
    <row r="84">
      <c r="A84" s="4" t="inlineStr">
        <is>
          <t>BS</t>
        </is>
      </c>
      <c r="B84" s="7" t="inlineStr">
        <is>
          <t>Inventories</t>
        </is>
      </c>
      <c r="C84" s="4" t="inlineStr">
        <is>
          <t>$000</t>
        </is>
      </c>
      <c r="D84" s="35" t="n">
        <v>26583</v>
      </c>
      <c r="E84" s="35" t="n">
        <v>53434</v>
      </c>
      <c r="F84" s="35" t="n">
        <v>41738</v>
      </c>
      <c r="G84" s="35" t="n">
        <v>31510</v>
      </c>
      <c r="H84" s="35" t="n">
        <v>97839</v>
      </c>
      <c r="I84" s="35" t="n">
        <v>131703</v>
      </c>
      <c r="J84" s="35" t="n">
        <v>160544</v>
      </c>
      <c r="K84" s="35" t="n">
        <v>99908</v>
      </c>
      <c r="L84" s="35" t="n">
        <v>90343</v>
      </c>
      <c r="M84" s="35" t="n">
        <v>78104</v>
      </c>
      <c r="N84" s="36">
        <f>BI84</f>
        <v/>
      </c>
      <c r="O84" s="37">
        <f>BM84</f>
        <v/>
      </c>
      <c r="P84" s="37">
        <f>BQ84</f>
        <v/>
      </c>
      <c r="R84" s="35" t="n">
        <v>29421</v>
      </c>
      <c r="S84" s="35" t="n">
        <v>25604</v>
      </c>
      <c r="T84" s="35" t="n">
        <v>32119</v>
      </c>
      <c r="U84" s="35" t="n">
        <v>26583</v>
      </c>
      <c r="V84" s="35" t="n">
        <v>31685</v>
      </c>
      <c r="W84" s="35" t="n">
        <v>77559</v>
      </c>
      <c r="X84" s="35" t="n">
        <v>63692</v>
      </c>
      <c r="Y84" s="35" t="n">
        <v>53434</v>
      </c>
      <c r="Z84" s="35" t="n">
        <v>45758</v>
      </c>
      <c r="AA84" s="35" t="n">
        <v>44338</v>
      </c>
      <c r="AB84" s="35" t="n">
        <v>41757</v>
      </c>
      <c r="AC84" s="35" t="n">
        <v>41738</v>
      </c>
      <c r="AD84" s="35" t="n">
        <v>42753</v>
      </c>
      <c r="AE84" s="35" t="n">
        <v>42875</v>
      </c>
      <c r="AF84" s="35" t="n">
        <v>37642</v>
      </c>
      <c r="AG84" s="35" t="n">
        <v>31510</v>
      </c>
      <c r="AH84" s="35" t="n">
        <v>31088</v>
      </c>
      <c r="AI84" s="35" t="n">
        <v>34284</v>
      </c>
      <c r="AJ84" s="35" t="n">
        <v>104471</v>
      </c>
      <c r="AK84" s="35" t="n">
        <v>97839</v>
      </c>
      <c r="AL84" s="35" t="n">
        <v>92154</v>
      </c>
      <c r="AM84" s="35" t="n">
        <v>98502</v>
      </c>
      <c r="AN84" s="35" t="n">
        <v>127347</v>
      </c>
      <c r="AO84" s="35" t="n">
        <v>131703</v>
      </c>
      <c r="AP84" s="35" t="n">
        <v>139041</v>
      </c>
      <c r="AQ84" s="35" t="n">
        <v>146431</v>
      </c>
      <c r="AR84" s="35" t="n">
        <v>165970</v>
      </c>
      <c r="AS84" s="35" t="n">
        <v>160544</v>
      </c>
      <c r="AT84" s="35" t="n">
        <v>149585</v>
      </c>
      <c r="AU84" s="35" t="n">
        <v>126152</v>
      </c>
      <c r="AV84" s="35" t="n">
        <v>114942</v>
      </c>
      <c r="AW84" s="35" t="n">
        <v>99908</v>
      </c>
      <c r="AX84" s="35" t="n">
        <v>96125</v>
      </c>
      <c r="AY84" s="35" t="n">
        <v>94738</v>
      </c>
      <c r="AZ84" s="35" t="n">
        <v>96063</v>
      </c>
      <c r="BA84" s="35" t="n">
        <v>90343</v>
      </c>
      <c r="BB84" s="35" t="n">
        <v>86005</v>
      </c>
      <c r="BC84" s="35" t="n">
        <v>86031</v>
      </c>
      <c r="BD84" s="35" t="n">
        <v>86329</v>
      </c>
      <c r="BE84" s="35" t="n">
        <v>78104</v>
      </c>
      <c r="BF84" s="35" t="n">
        <v>85839</v>
      </c>
      <c r="BG84" s="35" t="n">
        <v>105490</v>
      </c>
      <c r="BH84" s="37">
        <f>BH52/BH$11*BH62</f>
        <v/>
      </c>
      <c r="BI84" s="37">
        <f>BI52/BI$11*BI62</f>
        <v/>
      </c>
      <c r="BJ84" s="37">
        <f>BJ52/BJ$11*BJ62</f>
        <v/>
      </c>
      <c r="BK84" s="37">
        <f>BK52/BK$11*BK62</f>
        <v/>
      </c>
      <c r="BL84" s="37">
        <f>BL52/BL$11*BL62</f>
        <v/>
      </c>
      <c r="BM84" s="37">
        <f>BM52/BM$11*BM62</f>
        <v/>
      </c>
      <c r="BN84" s="37">
        <f>BN52/BN$11*BN62</f>
        <v/>
      </c>
      <c r="BO84" s="37">
        <f>BO52/BO$11*BO62</f>
        <v/>
      </c>
      <c r="BP84" s="37">
        <f>BP52/BP$11*BP62</f>
        <v/>
      </c>
      <c r="BQ84" s="37">
        <f>BQ52/BQ$11*BQ62</f>
        <v/>
      </c>
      <c r="BR84" s="30" t="inlineStr">
        <is>
          <t>存货。预测=DIO/天数×COGS。Q2'26 $105.5m（光学备货）。</t>
        </is>
      </c>
    </row>
    <row r="85">
      <c r="A85" s="4" t="inlineStr">
        <is>
          <t>BS</t>
        </is>
      </c>
      <c r="B85" s="7" t="inlineStr">
        <is>
          <t>Other current assets</t>
        </is>
      </c>
      <c r="C85" s="4" t="inlineStr">
        <is>
          <t>$000</t>
        </is>
      </c>
      <c r="D85" s="35" t="n">
        <v>54691</v>
      </c>
      <c r="E85" s="35" t="n">
        <v>9899</v>
      </c>
      <c r="F85" s="35" t="n">
        <v>11002</v>
      </c>
      <c r="G85" s="35" t="n">
        <v>7141</v>
      </c>
      <c r="H85" s="35" t="n">
        <v>47536</v>
      </c>
      <c r="I85" s="35" t="n">
        <v>22105</v>
      </c>
      <c r="J85" s="35" t="n">
        <v>44256</v>
      </c>
      <c r="K85" s="35" t="n">
        <v>30210</v>
      </c>
      <c r="L85" s="35" t="n">
        <v>29060</v>
      </c>
      <c r="M85" s="35" t="n">
        <v>51809</v>
      </c>
      <c r="N85" s="36">
        <f>BI85</f>
        <v/>
      </c>
      <c r="O85" s="37">
        <f>BM85</f>
        <v/>
      </c>
      <c r="P85" s="37">
        <f>BQ85</f>
        <v/>
      </c>
      <c r="R85" s="35" t="n">
        <v>79395</v>
      </c>
      <c r="S85" s="35" t="n">
        <v>33881</v>
      </c>
      <c r="T85" s="35" t="n">
        <v>48977</v>
      </c>
      <c r="U85" s="35" t="n">
        <v>54691</v>
      </c>
      <c r="V85" s="35" t="n">
        <v>69787</v>
      </c>
      <c r="W85" s="35" t="n">
        <v>10347</v>
      </c>
      <c r="X85" s="35" t="n">
        <v>8532</v>
      </c>
      <c r="Y85" s="35" t="n">
        <v>9899</v>
      </c>
      <c r="Z85" s="35" t="n">
        <v>9030</v>
      </c>
      <c r="AA85" s="35" t="n">
        <v>7650</v>
      </c>
      <c r="AB85" s="35" t="n">
        <v>6678</v>
      </c>
      <c r="AC85" s="35" t="n">
        <v>11002</v>
      </c>
      <c r="AD85" s="35" t="n">
        <v>5826</v>
      </c>
      <c r="AE85" s="35" t="n">
        <v>6528</v>
      </c>
      <c r="AF85" s="35" t="n">
        <v>5024</v>
      </c>
      <c r="AG85" s="35" t="n">
        <v>7141</v>
      </c>
      <c r="AH85" s="35" t="n">
        <v>6352</v>
      </c>
      <c r="AI85" s="35" t="n">
        <v>7498</v>
      </c>
      <c r="AJ85" s="35" t="n">
        <v>43657</v>
      </c>
      <c r="AK85" s="35" t="n">
        <v>47536</v>
      </c>
      <c r="AL85" s="35" t="n">
        <v>17210</v>
      </c>
      <c r="AM85" s="35" t="n">
        <v>13973</v>
      </c>
      <c r="AN85" s="35" t="n">
        <v>14642</v>
      </c>
      <c r="AO85" s="35" t="n">
        <v>22105</v>
      </c>
      <c r="AP85" s="35" t="n">
        <v>38731</v>
      </c>
      <c r="AQ85" s="35" t="n">
        <v>43765</v>
      </c>
      <c r="AR85" s="35" t="n">
        <v>37437</v>
      </c>
      <c r="AS85" s="35" t="n">
        <v>44256</v>
      </c>
      <c r="AT85" s="35" t="n">
        <v>47418</v>
      </c>
      <c r="AU85" s="35" t="n">
        <v>47926</v>
      </c>
      <c r="AV85" s="35" t="n">
        <v>48405</v>
      </c>
      <c r="AW85" s="35" t="n">
        <v>30210</v>
      </c>
      <c r="AX85" s="35" t="n">
        <v>30442</v>
      </c>
      <c r="AY85" s="35" t="n">
        <v>32795</v>
      </c>
      <c r="AZ85" s="35" t="n">
        <v>35791</v>
      </c>
      <c r="BA85" s="35" t="n">
        <v>29060</v>
      </c>
      <c r="BB85" s="35" t="n">
        <v>32703</v>
      </c>
      <c r="BC85" s="35" t="n">
        <v>29682</v>
      </c>
      <c r="BD85" s="35" t="n">
        <v>33010</v>
      </c>
      <c r="BE85" s="35" t="n">
        <v>51809</v>
      </c>
      <c r="BF85" s="35" t="n">
        <v>61679</v>
      </c>
      <c r="BG85" s="35" t="n">
        <v>77321</v>
      </c>
      <c r="BH85" s="37">
        <f>BG85</f>
        <v/>
      </c>
      <c r="BI85" s="37">
        <f>BH85</f>
        <v/>
      </c>
      <c r="BJ85" s="37">
        <f>BI85</f>
        <v/>
      </c>
      <c r="BK85" s="37">
        <f>BJ85</f>
        <v/>
      </c>
      <c r="BL85" s="37">
        <f>BK85</f>
        <v/>
      </c>
      <c r="BM85" s="37">
        <f>BL85</f>
        <v/>
      </c>
      <c r="BN85" s="37">
        <f>BM85</f>
        <v/>
      </c>
      <c r="BO85" s="37">
        <f>BN85</f>
        <v/>
      </c>
      <c r="BP85" s="37">
        <f>BO85</f>
        <v/>
      </c>
      <c r="BQ85" s="37">
        <f>BP85</f>
        <v/>
      </c>
      <c r="BR85" s="30" t="inlineStr">
        <is>
          <t>其他流动资产=CA−现金−AR−存货（预付、受限现金等）。预测维持Q2'26水平。</t>
        </is>
      </c>
    </row>
    <row r="86">
      <c r="A86" s="4" t="inlineStr">
        <is>
          <t>BS</t>
        </is>
      </c>
      <c r="B86" s="7" t="inlineStr">
        <is>
          <t>Total current assets</t>
        </is>
      </c>
      <c r="C86" s="4" t="inlineStr">
        <is>
          <t>$000</t>
        </is>
      </c>
      <c r="D86" s="42">
        <f>D82+D83+D84+D85</f>
        <v/>
      </c>
      <c r="E86" s="42">
        <f>E82+E83+E84+E85</f>
        <v/>
      </c>
      <c r="F86" s="42">
        <f>F82+F83+F84+F85</f>
        <v/>
      </c>
      <c r="G86" s="42">
        <f>G82+G83+G84+G85</f>
        <v/>
      </c>
      <c r="H86" s="42">
        <f>H82+H83+H84+H85</f>
        <v/>
      </c>
      <c r="I86" s="42">
        <f>I82+I83+I84+I85</f>
        <v/>
      </c>
      <c r="J86" s="42">
        <f>J82+J83+J84+J85</f>
        <v/>
      </c>
      <c r="K86" s="42">
        <f>K82+K83+K84+K85</f>
        <v/>
      </c>
      <c r="L86" s="42">
        <f>L82+L83+L84+L85</f>
        <v/>
      </c>
      <c r="M86" s="42">
        <f>M82+M83+M84+M85</f>
        <v/>
      </c>
      <c r="N86" s="36">
        <f>BI86</f>
        <v/>
      </c>
      <c r="O86" s="37">
        <f>BM86</f>
        <v/>
      </c>
      <c r="P86" s="37">
        <f>BQ86</f>
        <v/>
      </c>
      <c r="R86" s="42">
        <f>R82+R83+R84+R85</f>
        <v/>
      </c>
      <c r="S86" s="42">
        <f>S82+S83+S84+S85</f>
        <v/>
      </c>
      <c r="T86" s="42">
        <f>T82+T83+T84+T85</f>
        <v/>
      </c>
      <c r="U86" s="42">
        <f>U82+U83+U84+U85</f>
        <v/>
      </c>
      <c r="V86" s="42">
        <f>V82+V83+V84+V85</f>
        <v/>
      </c>
      <c r="W86" s="42">
        <f>W82+W83+W84+W85</f>
        <v/>
      </c>
      <c r="X86" s="42">
        <f>X82+X83+X84+X85</f>
        <v/>
      </c>
      <c r="Y86" s="42">
        <f>Y82+Y83+Y84+Y85</f>
        <v/>
      </c>
      <c r="Z86" s="42">
        <f>Z82+Z83+Z84+Z85</f>
        <v/>
      </c>
      <c r="AA86" s="42">
        <f>AA82+AA83+AA84+AA85</f>
        <v/>
      </c>
      <c r="AB86" s="42">
        <f>AB82+AB83+AB84+AB85</f>
        <v/>
      </c>
      <c r="AC86" s="42">
        <f>AC82+AC83+AC84+AC85</f>
        <v/>
      </c>
      <c r="AD86" s="42">
        <f>AD82+AD83+AD84+AD85</f>
        <v/>
      </c>
      <c r="AE86" s="42">
        <f>AE82+AE83+AE84+AE85</f>
        <v/>
      </c>
      <c r="AF86" s="42">
        <f>AF82+AF83+AF84+AF85</f>
        <v/>
      </c>
      <c r="AG86" s="42">
        <f>AG82+AG83+AG84+AG85</f>
        <v/>
      </c>
      <c r="AH86" s="42">
        <f>AH82+AH83+AH84+AH85</f>
        <v/>
      </c>
      <c r="AI86" s="42">
        <f>AI82+AI83+AI84+AI85</f>
        <v/>
      </c>
      <c r="AJ86" s="42">
        <f>AJ82+AJ83+AJ84+AJ85</f>
        <v/>
      </c>
      <c r="AK86" s="42">
        <f>AK82+AK83+AK84+AK85</f>
        <v/>
      </c>
      <c r="AL86" s="42">
        <f>AL82+AL83+AL84+AL85</f>
        <v/>
      </c>
      <c r="AM86" s="42">
        <f>AM82+AM83+AM84+AM85</f>
        <v/>
      </c>
      <c r="AN86" s="42">
        <f>AN82+AN83+AN84+AN85</f>
        <v/>
      </c>
      <c r="AO86" s="42">
        <f>AO82+AO83+AO84+AO85</f>
        <v/>
      </c>
      <c r="AP86" s="42">
        <f>AP82+AP83+AP84+AP85</f>
        <v/>
      </c>
      <c r="AQ86" s="42">
        <f>AQ82+AQ83+AQ84+AQ85</f>
        <v/>
      </c>
      <c r="AR86" s="42">
        <f>AR82+AR83+AR84+AR85</f>
        <v/>
      </c>
      <c r="AS86" s="42">
        <f>AS82+AS83+AS84+AS85</f>
        <v/>
      </c>
      <c r="AT86" s="42">
        <f>AT82+AT83+AT84+AT85</f>
        <v/>
      </c>
      <c r="AU86" s="42">
        <f>AU82+AU83+AU84+AU85</f>
        <v/>
      </c>
      <c r="AV86" s="42">
        <f>AV82+AV83+AV84+AV85</f>
        <v/>
      </c>
      <c r="AW86" s="42">
        <f>AW82+AW83+AW84+AW85</f>
        <v/>
      </c>
      <c r="AX86" s="42">
        <f>AX82+AX83+AX84+AX85</f>
        <v/>
      </c>
      <c r="AY86" s="42">
        <f>AY82+AY83+AY84+AY85</f>
        <v/>
      </c>
      <c r="AZ86" s="42">
        <f>AZ82+AZ83+AZ84+AZ85</f>
        <v/>
      </c>
      <c r="BA86" s="42">
        <f>BA82+BA83+BA84+BA85</f>
        <v/>
      </c>
      <c r="BB86" s="42">
        <f>BB82+BB83+BB84+BB85</f>
        <v/>
      </c>
      <c r="BC86" s="42">
        <f>BC82+BC83+BC84+BC85</f>
        <v/>
      </c>
      <c r="BD86" s="42">
        <f>BD82+BD83+BD84+BD85</f>
        <v/>
      </c>
      <c r="BE86" s="42">
        <f>BE82+BE83+BE84+BE85</f>
        <v/>
      </c>
      <c r="BF86" s="42">
        <f>BF82+BF83+BF84+BF85</f>
        <v/>
      </c>
      <c r="BG86" s="42">
        <f>BG82+BG83+BG84+BG85</f>
        <v/>
      </c>
      <c r="BH86" s="42">
        <f>BH82+BH83+BH84+BH85</f>
        <v/>
      </c>
      <c r="BI86" s="42">
        <f>BI82+BI83+BI84+BI85</f>
        <v/>
      </c>
      <c r="BJ86" s="42">
        <f>BJ82+BJ83+BJ84+BJ85</f>
        <v/>
      </c>
      <c r="BK86" s="42">
        <f>BK82+BK83+BK84+BK85</f>
        <v/>
      </c>
      <c r="BL86" s="42">
        <f>BL82+BL83+BL84+BL85</f>
        <v/>
      </c>
      <c r="BM86" s="42">
        <f>BM82+BM83+BM84+BM85</f>
        <v/>
      </c>
      <c r="BN86" s="42">
        <f>BN82+BN83+BN84+BN85</f>
        <v/>
      </c>
      <c r="BO86" s="42">
        <f>BO82+BO83+BO84+BO85</f>
        <v/>
      </c>
      <c r="BP86" s="42">
        <f>BP82+BP83+BP84+BP85</f>
        <v/>
      </c>
      <c r="BQ86" s="42">
        <f>BQ82+BQ83+BQ84+BQ85</f>
        <v/>
      </c>
      <c r="BR86" s="30" t="inlineStr">
        <is>
          <t>流动资产合计。</t>
        </is>
      </c>
    </row>
    <row r="87">
      <c r="A87" s="4" t="inlineStr">
        <is>
          <t>BS</t>
        </is>
      </c>
      <c r="B87" s="7" t="inlineStr">
        <is>
          <t>Property, plant &amp; equipment, net</t>
        </is>
      </c>
      <c r="C87" s="4" t="inlineStr">
        <is>
          <t>$000</t>
        </is>
      </c>
      <c r="D87" s="35" t="n">
        <v>20549</v>
      </c>
      <c r="E87" s="35" t="n">
        <v>22658</v>
      </c>
      <c r="F87" s="35" t="n">
        <v>18404</v>
      </c>
      <c r="G87" s="35" t="n">
        <v>16613</v>
      </c>
      <c r="H87" s="35" t="n">
        <v>39470</v>
      </c>
      <c r="I87" s="35" t="n">
        <v>60924</v>
      </c>
      <c r="J87" s="35" t="n">
        <v>79018</v>
      </c>
      <c r="K87" s="35" t="n">
        <v>66431</v>
      </c>
      <c r="L87" s="35" t="n">
        <v>59300</v>
      </c>
      <c r="M87" s="35" t="n">
        <v>48873</v>
      </c>
      <c r="N87" s="36">
        <f>BI87</f>
        <v/>
      </c>
      <c r="O87" s="37">
        <f>BM87</f>
        <v/>
      </c>
      <c r="P87" s="37">
        <f>BQ87</f>
        <v/>
      </c>
      <c r="R87" s="35" t="n">
        <v>21538</v>
      </c>
      <c r="S87" s="35" t="n">
        <v>21134</v>
      </c>
      <c r="T87" s="35" t="n">
        <v>21950</v>
      </c>
      <c r="U87" s="35" t="n">
        <v>20549</v>
      </c>
      <c r="V87" s="35" t="n">
        <v>19162</v>
      </c>
      <c r="W87" s="35" t="n">
        <v>24469</v>
      </c>
      <c r="X87" s="35" t="n">
        <v>23336</v>
      </c>
      <c r="Y87" s="35" t="n">
        <v>22658</v>
      </c>
      <c r="Z87" s="35" t="n">
        <v>21993</v>
      </c>
      <c r="AA87" s="35" t="n">
        <v>20886</v>
      </c>
      <c r="AB87" s="35" t="n">
        <v>19413</v>
      </c>
      <c r="AC87" s="35" t="n">
        <v>18404</v>
      </c>
      <c r="AD87" s="35" t="n">
        <v>16987</v>
      </c>
      <c r="AE87" s="35" t="n">
        <v>15738</v>
      </c>
      <c r="AF87" s="35" t="n">
        <v>15204</v>
      </c>
      <c r="AG87" s="35" t="n">
        <v>16613</v>
      </c>
      <c r="AH87" s="35" t="n">
        <v>15751</v>
      </c>
      <c r="AI87" s="35" t="n">
        <v>18059</v>
      </c>
      <c r="AJ87" s="35" t="n">
        <v>37258</v>
      </c>
      <c r="AK87" s="35" t="n">
        <v>39470</v>
      </c>
      <c r="AL87" s="35" t="n">
        <v>40787</v>
      </c>
      <c r="AM87" s="35" t="n">
        <v>48104</v>
      </c>
      <c r="AN87" s="35" t="n">
        <v>53022</v>
      </c>
      <c r="AO87" s="35" t="n">
        <v>60924</v>
      </c>
      <c r="AP87" s="35" t="n">
        <v>60022</v>
      </c>
      <c r="AQ87" s="35" t="n">
        <v>64136</v>
      </c>
      <c r="AR87" s="35" t="n">
        <v>67081</v>
      </c>
      <c r="AS87" s="35" t="n">
        <v>79018</v>
      </c>
      <c r="AT87" s="35" t="n">
        <v>77691</v>
      </c>
      <c r="AU87" s="35" t="n">
        <v>73845</v>
      </c>
      <c r="AV87" s="35" t="n">
        <v>69484</v>
      </c>
      <c r="AW87" s="35" t="n">
        <v>66431</v>
      </c>
      <c r="AX87" s="35" t="n">
        <v>68338</v>
      </c>
      <c r="AY87" s="35" t="n">
        <v>65422</v>
      </c>
      <c r="AZ87" s="35" t="n">
        <v>63493</v>
      </c>
      <c r="BA87" s="35" t="n">
        <v>59300</v>
      </c>
      <c r="BB87" s="35" t="n">
        <v>55546</v>
      </c>
      <c r="BC87" s="35" t="n">
        <v>51125</v>
      </c>
      <c r="BD87" s="35" t="n">
        <v>50865</v>
      </c>
      <c r="BE87" s="35" t="n">
        <v>48873</v>
      </c>
      <c r="BF87" s="35" t="n">
        <v>44362</v>
      </c>
      <c r="BG87" s="35" t="n">
        <v>41207</v>
      </c>
      <c r="BH87" s="37">
        <f>BG87+BH54-BH55</f>
        <v/>
      </c>
      <c r="BI87" s="37">
        <f>BH87+BI54-BI55</f>
        <v/>
      </c>
      <c r="BJ87" s="37">
        <f>BI87+BJ54-BJ55</f>
        <v/>
      </c>
      <c r="BK87" s="37">
        <f>BJ87+BK54-BK55</f>
        <v/>
      </c>
      <c r="BL87" s="37">
        <f>BK87+BL54-BL55</f>
        <v/>
      </c>
      <c r="BM87" s="37">
        <f>BL87+BM54-BM55</f>
        <v/>
      </c>
      <c r="BN87" s="37">
        <f>BM87+BN54-BN55</f>
        <v/>
      </c>
      <c r="BO87" s="37">
        <f>BN87+BO54-BO55</f>
        <v/>
      </c>
      <c r="BP87" s="37">
        <f>BO87+BP54-BP55</f>
        <v/>
      </c>
      <c r="BQ87" s="37">
        <f>BP87+BQ54-BQ55</f>
        <v/>
      </c>
      <c r="BR87" s="30" t="inlineStr">
        <is>
          <t>PPE净额。预测=上期+Capex−PPE折旧。</t>
        </is>
      </c>
    </row>
    <row r="88">
      <c r="A88" s="4" t="inlineStr">
        <is>
          <t>BS</t>
        </is>
      </c>
      <c r="B88" s="7" t="inlineStr">
        <is>
          <t>Goodwill</t>
        </is>
      </c>
      <c r="C88" s="4" t="inlineStr">
        <is>
          <t>$000</t>
        </is>
      </c>
      <c r="D88" s="35" t="n">
        <v>76015</v>
      </c>
      <c r="E88" s="35" t="n">
        <v>237992</v>
      </c>
      <c r="F88" s="35" t="n">
        <v>238330</v>
      </c>
      <c r="G88" s="35" t="n">
        <v>238330</v>
      </c>
      <c r="H88" s="35" t="n">
        <v>302828</v>
      </c>
      <c r="I88" s="35" t="n">
        <v>306668</v>
      </c>
      <c r="J88" s="35" t="n">
        <v>306739</v>
      </c>
      <c r="K88" s="35" t="n">
        <v>318588</v>
      </c>
      <c r="L88" s="35" t="n">
        <v>318588</v>
      </c>
      <c r="M88" s="35" t="n">
        <v>318588</v>
      </c>
      <c r="N88" s="36">
        <f>BI88</f>
        <v/>
      </c>
      <c r="O88" s="37">
        <f>BM88</f>
        <v/>
      </c>
      <c r="P88" s="37">
        <f>BQ88</f>
        <v/>
      </c>
      <c r="R88" s="35" t="n">
        <v>49779</v>
      </c>
      <c r="S88" s="35" t="n">
        <v>56714</v>
      </c>
      <c r="T88" s="35" t="n">
        <v>75794</v>
      </c>
      <c r="U88" s="35" t="n">
        <v>76015</v>
      </c>
      <c r="V88" s="35" t="n">
        <v>75673</v>
      </c>
      <c r="W88" s="35" t="n">
        <v>238838</v>
      </c>
      <c r="X88" s="35" t="n">
        <v>239673</v>
      </c>
      <c r="Y88" s="35" t="n">
        <v>237992</v>
      </c>
      <c r="Z88" s="35" t="n">
        <v>237810</v>
      </c>
      <c r="AA88" s="35" t="n">
        <v>238330</v>
      </c>
      <c r="AB88" s="35" t="n">
        <v>238330</v>
      </c>
      <c r="AC88" s="35" t="n">
        <v>238330</v>
      </c>
      <c r="AD88" s="35" t="n">
        <v>238330</v>
      </c>
      <c r="AE88" s="35" t="n">
        <v>238330</v>
      </c>
      <c r="AF88" s="35" t="n">
        <v>238330</v>
      </c>
      <c r="AG88" s="35" t="n">
        <v>238330</v>
      </c>
      <c r="AH88" s="35" t="n">
        <v>238330</v>
      </c>
      <c r="AI88" s="35" t="n">
        <v>238330</v>
      </c>
      <c r="AJ88" s="35" t="n">
        <v>302576</v>
      </c>
      <c r="AK88" s="35" t="n">
        <v>302828</v>
      </c>
      <c r="AL88" s="35" t="n">
        <v>302828</v>
      </c>
      <c r="AM88" s="35" t="n">
        <v>302828</v>
      </c>
      <c r="AN88" s="35" t="n">
        <v>302828</v>
      </c>
      <c r="AO88" s="35" t="n">
        <v>306668</v>
      </c>
      <c r="AP88" s="35" t="n">
        <v>306713</v>
      </c>
      <c r="AQ88" s="35" t="n">
        <v>306739</v>
      </c>
      <c r="AR88" s="35" t="n">
        <v>306739</v>
      </c>
      <c r="AS88" s="35" t="n">
        <v>306739</v>
      </c>
      <c r="AT88" s="35" t="n">
        <v>318910</v>
      </c>
      <c r="AU88" s="35" t="n">
        <v>318456</v>
      </c>
      <c r="AV88" s="35" t="n">
        <v>318456</v>
      </c>
      <c r="AW88" s="35" t="n">
        <v>318588</v>
      </c>
      <c r="AX88" s="35" t="n">
        <v>318588</v>
      </c>
      <c r="AY88" s="35" t="n">
        <v>318588</v>
      </c>
      <c r="AZ88" s="35" t="n">
        <v>318588</v>
      </c>
      <c r="BA88" s="35" t="n">
        <v>318588</v>
      </c>
      <c r="BB88" s="35" t="n">
        <v>318588</v>
      </c>
      <c r="BC88" s="35" t="n">
        <v>318588</v>
      </c>
      <c r="BD88" s="35" t="n">
        <v>318588</v>
      </c>
      <c r="BE88" s="35" t="n">
        <v>318588</v>
      </c>
      <c r="BF88" s="35" t="n">
        <v>318588</v>
      </c>
      <c r="BG88" s="35" t="n">
        <v>318588</v>
      </c>
      <c r="BH88" s="37">
        <f>BG88</f>
        <v/>
      </c>
      <c r="BI88" s="37">
        <f>BH88</f>
        <v/>
      </c>
      <c r="BJ88" s="37">
        <f>BI88</f>
        <v/>
      </c>
      <c r="BK88" s="37">
        <f>BJ88</f>
        <v/>
      </c>
      <c r="BL88" s="37">
        <f>BK88</f>
        <v/>
      </c>
      <c r="BM88" s="37">
        <f>BL88</f>
        <v/>
      </c>
      <c r="BN88" s="37">
        <f>BM88</f>
        <v/>
      </c>
      <c r="BO88" s="37">
        <f>BN88</f>
        <v/>
      </c>
      <c r="BP88" s="37">
        <f>BO88</f>
        <v/>
      </c>
      <c r="BQ88" s="37">
        <f>BP88</f>
        <v/>
      </c>
      <c r="BR88" s="30" t="inlineStr">
        <is>
          <t>商誉。Intel/Exar等收购形成，Q2'26 $318.6m。预测持平（不测减值）。</t>
        </is>
      </c>
    </row>
    <row r="89">
      <c r="A89" s="4" t="inlineStr">
        <is>
          <t>BS</t>
        </is>
      </c>
      <c r="B89" s="7" t="inlineStr">
        <is>
          <t>Intangible assets, net</t>
        </is>
      </c>
      <c r="C89" s="4" t="inlineStr">
        <is>
          <t>$000</t>
        </is>
      </c>
      <c r="D89" s="35" t="n">
        <v>104261</v>
      </c>
      <c r="E89" s="35" t="n">
        <v>315045</v>
      </c>
      <c r="F89" s="35" t="n">
        <v>244900</v>
      </c>
      <c r="G89" s="35" t="n">
        <v>187971</v>
      </c>
      <c r="H89" s="35" t="n">
        <v>207266</v>
      </c>
      <c r="I89" s="35" t="n">
        <v>152540</v>
      </c>
      <c r="J89" s="35" t="n">
        <v>109316</v>
      </c>
      <c r="K89" s="35" t="n">
        <v>73630</v>
      </c>
      <c r="L89" s="35" t="n">
        <v>55008</v>
      </c>
      <c r="M89" s="35" t="n">
        <v>48892</v>
      </c>
      <c r="N89" s="36">
        <f>BI89</f>
        <v/>
      </c>
      <c r="O89" s="37">
        <f>BM89</f>
        <v/>
      </c>
      <c r="P89" s="37">
        <f>BQ89</f>
        <v/>
      </c>
      <c r="R89" s="35" t="n">
        <v>49293</v>
      </c>
      <c r="S89" s="35" t="n">
        <v>60675</v>
      </c>
      <c r="T89" s="35" t="n">
        <v>109885</v>
      </c>
      <c r="U89" s="35" t="n">
        <v>104261</v>
      </c>
      <c r="V89" s="35" t="n">
        <v>99679</v>
      </c>
      <c r="W89" s="35" t="n">
        <v>353524</v>
      </c>
      <c r="X89" s="35" t="n">
        <v>332409</v>
      </c>
      <c r="Y89" s="35" t="n">
        <v>315045</v>
      </c>
      <c r="Z89" s="35" t="n">
        <v>298031</v>
      </c>
      <c r="AA89" s="35" t="n">
        <v>281017</v>
      </c>
      <c r="AB89" s="35" t="n">
        <v>261813</v>
      </c>
      <c r="AC89" s="35" t="n">
        <v>244900</v>
      </c>
      <c r="AD89" s="35" t="n">
        <v>230634</v>
      </c>
      <c r="AE89" s="35" t="n">
        <v>216342</v>
      </c>
      <c r="AF89" s="35" t="n">
        <v>202217</v>
      </c>
      <c r="AG89" s="35" t="n">
        <v>187971</v>
      </c>
      <c r="AH89" s="35" t="n">
        <v>173570</v>
      </c>
      <c r="AI89" s="35" t="n">
        <v>159441</v>
      </c>
      <c r="AJ89" s="35" t="n">
        <v>232148</v>
      </c>
      <c r="AK89" s="35" t="n">
        <v>207266</v>
      </c>
      <c r="AL89" s="35" t="n">
        <v>191542</v>
      </c>
      <c r="AM89" s="35" t="n">
        <v>174964</v>
      </c>
      <c r="AN89" s="35" t="n">
        <v>163894</v>
      </c>
      <c r="AO89" s="35" t="n">
        <v>152540</v>
      </c>
      <c r="AP89" s="35" t="n">
        <v>140153</v>
      </c>
      <c r="AQ89" s="35" t="n">
        <v>127928</v>
      </c>
      <c r="AR89" s="35" t="n">
        <v>122142</v>
      </c>
      <c r="AS89" s="35" t="n">
        <v>109316</v>
      </c>
      <c r="AT89" s="35" t="n">
        <v>96352</v>
      </c>
      <c r="AU89" s="35" t="n">
        <v>91203</v>
      </c>
      <c r="AV89" s="35" t="n">
        <v>82643</v>
      </c>
      <c r="AW89" s="35" t="n">
        <v>73630</v>
      </c>
      <c r="AX89" s="35" t="n">
        <v>64939</v>
      </c>
      <c r="AY89" s="35" t="n">
        <v>61786</v>
      </c>
      <c r="AZ89" s="35" t="n">
        <v>58031</v>
      </c>
      <c r="BA89" s="35" t="n">
        <v>55008</v>
      </c>
      <c r="BB89" s="35" t="n">
        <v>51587</v>
      </c>
      <c r="BC89" s="35" t="n">
        <v>54359</v>
      </c>
      <c r="BD89" s="35" t="n">
        <v>52066</v>
      </c>
      <c r="BE89" s="35" t="n">
        <v>48892</v>
      </c>
      <c r="BF89" s="35" t="n">
        <v>46412</v>
      </c>
      <c r="BG89" s="35" t="n">
        <v>43780</v>
      </c>
      <c r="BH89" s="37">
        <f>MAX(20000,BG89-BH56)</f>
        <v/>
      </c>
      <c r="BI89" s="37">
        <f>MAX(20000,BH89-BI56)</f>
        <v/>
      </c>
      <c r="BJ89" s="37">
        <f>MAX(20000,BI89-BJ56)</f>
        <v/>
      </c>
      <c r="BK89" s="37">
        <f>MAX(20000,BJ89-BK56)</f>
        <v/>
      </c>
      <c r="BL89" s="37">
        <f>MAX(20000,BK89-BL56)</f>
        <v/>
      </c>
      <c r="BM89" s="37">
        <f>MAX(20000,BL89-BM56)</f>
        <v/>
      </c>
      <c r="BN89" s="37">
        <f>MAX(20000,BM89-BN56)</f>
        <v/>
      </c>
      <c r="BO89" s="37">
        <f>MAX(20000,BN89-BO56)</f>
        <v/>
      </c>
      <c r="BP89" s="37">
        <f>MAX(20000,BO89-BP56)</f>
        <v/>
      </c>
      <c r="BQ89" s="37">
        <f>MAX(20000,BP89-BQ56)</f>
        <v/>
      </c>
      <c r="BR89" s="30" t="inlineStr">
        <is>
          <t>无形资产净额。预测=max(上期−IA摊销, $20m)。</t>
        </is>
      </c>
    </row>
    <row r="90">
      <c r="A90" s="4" t="inlineStr">
        <is>
          <t>BS</t>
        </is>
      </c>
      <c r="B90" s="7" t="inlineStr">
        <is>
          <t>Other non-current assets (DTA, ROU, other)</t>
        </is>
      </c>
      <c r="C90" s="4" t="inlineStr">
        <is>
          <t>$000</t>
        </is>
      </c>
      <c r="D90" s="35" t="n">
        <v>8980</v>
      </c>
      <c r="E90" s="35" t="n">
        <v>47863</v>
      </c>
      <c r="F90" s="35" t="n">
        <v>56586</v>
      </c>
      <c r="G90" s="35" t="n">
        <v>81107</v>
      </c>
      <c r="H90" s="35" t="n">
        <v>111160</v>
      </c>
      <c r="I90" s="35" t="n">
        <v>126148</v>
      </c>
      <c r="J90" s="35" t="n">
        <v>121828</v>
      </c>
      <c r="K90" s="35" t="n">
        <v>133583</v>
      </c>
      <c r="L90" s="35" t="n">
        <v>108301</v>
      </c>
      <c r="M90" s="35" t="n">
        <v>131202</v>
      </c>
      <c r="N90" s="36">
        <f>BI90</f>
        <v/>
      </c>
      <c r="O90" s="37">
        <f>BM90</f>
        <v/>
      </c>
      <c r="P90" s="37">
        <f>BQ90</f>
        <v/>
      </c>
      <c r="R90" s="35" t="n">
        <v>18951</v>
      </c>
      <c r="S90" s="35" t="n">
        <v>1982</v>
      </c>
      <c r="T90" s="35" t="n">
        <v>13903</v>
      </c>
      <c r="U90" s="35" t="n">
        <v>8980</v>
      </c>
      <c r="V90" s="35" t="n">
        <v>3154</v>
      </c>
      <c r="W90" s="35" t="n">
        <v>62627</v>
      </c>
      <c r="X90" s="35" t="n">
        <v>62178</v>
      </c>
      <c r="Y90" s="35" t="n">
        <v>47863</v>
      </c>
      <c r="Z90" s="35" t="n">
        <v>49815</v>
      </c>
      <c r="AA90" s="35" t="n">
        <v>48438</v>
      </c>
      <c r="AB90" s="35" t="n">
        <v>48335</v>
      </c>
      <c r="AC90" s="35" t="n">
        <v>56586</v>
      </c>
      <c r="AD90" s="35" t="n">
        <v>83611</v>
      </c>
      <c r="AE90" s="35" t="n">
        <v>86100</v>
      </c>
      <c r="AF90" s="35" t="n">
        <v>85894</v>
      </c>
      <c r="AG90" s="35" t="n">
        <v>81107</v>
      </c>
      <c r="AH90" s="35" t="n">
        <v>85165</v>
      </c>
      <c r="AI90" s="35" t="n">
        <v>86652</v>
      </c>
      <c r="AJ90" s="35" t="n">
        <v>85744</v>
      </c>
      <c r="AK90" s="35" t="n">
        <v>111160</v>
      </c>
      <c r="AL90" s="35" t="n">
        <v>118462</v>
      </c>
      <c r="AM90" s="35" t="n">
        <v>122623</v>
      </c>
      <c r="AN90" s="35" t="n">
        <v>115870</v>
      </c>
      <c r="AO90" s="35" t="n">
        <v>126148</v>
      </c>
      <c r="AP90" s="35" t="n">
        <v>137663</v>
      </c>
      <c r="AQ90" s="35" t="n">
        <v>143266</v>
      </c>
      <c r="AR90" s="35" t="n">
        <v>123761</v>
      </c>
      <c r="AS90" s="35" t="n">
        <v>121828</v>
      </c>
      <c r="AT90" s="35" t="n">
        <v>111939</v>
      </c>
      <c r="AU90" s="35" t="n">
        <v>123485</v>
      </c>
      <c r="AV90" s="35" t="n">
        <v>124597</v>
      </c>
      <c r="AW90" s="35" t="n">
        <v>133583</v>
      </c>
      <c r="AX90" s="35" t="n">
        <v>134081</v>
      </c>
      <c r="AY90" s="35" t="n">
        <v>129820</v>
      </c>
      <c r="AZ90" s="35" t="n">
        <v>126931</v>
      </c>
      <c r="BA90" s="35" t="n">
        <v>108301</v>
      </c>
      <c r="BB90" s="35" t="n">
        <v>109154</v>
      </c>
      <c r="BC90" s="35" t="n">
        <v>109516</v>
      </c>
      <c r="BD90" s="35" t="n">
        <v>102482</v>
      </c>
      <c r="BE90" s="35" t="n">
        <v>131202</v>
      </c>
      <c r="BF90" s="35" t="n">
        <v>112455</v>
      </c>
      <c r="BG90" s="35" t="n">
        <v>120334</v>
      </c>
      <c r="BH90" s="37">
        <f>BG90</f>
        <v/>
      </c>
      <c r="BI90" s="37">
        <f>BH90</f>
        <v/>
      </c>
      <c r="BJ90" s="37">
        <f>BI90</f>
        <v/>
      </c>
      <c r="BK90" s="37">
        <f>BJ90</f>
        <v/>
      </c>
      <c r="BL90" s="37">
        <f>BK90</f>
        <v/>
      </c>
      <c r="BM90" s="37">
        <f>BL90</f>
        <v/>
      </c>
      <c r="BN90" s="37">
        <f>BM90</f>
        <v/>
      </c>
      <c r="BO90" s="37">
        <f>BN90</f>
        <v/>
      </c>
      <c r="BP90" s="37">
        <f>BO90</f>
        <v/>
      </c>
      <c r="BQ90" s="37">
        <f>BP90</f>
        <v/>
      </c>
      <c r="BR90" s="30" t="inlineStr">
        <is>
          <t>其他非流动：递延税资产、使用权资产等。预测持平Q2'26。</t>
        </is>
      </c>
    </row>
    <row r="91">
      <c r="A91" s="4" t="inlineStr">
        <is>
          <t>BS</t>
        </is>
      </c>
      <c r="B91" s="5" t="inlineStr">
        <is>
          <t>TOTAL ASSETS</t>
        </is>
      </c>
      <c r="C91" s="4" t="inlineStr">
        <is>
          <t>$000</t>
        </is>
      </c>
      <c r="D91" s="42">
        <f>D86+D87+D88+D89+D90</f>
        <v/>
      </c>
      <c r="E91" s="42">
        <f>E86+E87+E88+E89+E90</f>
        <v/>
      </c>
      <c r="F91" s="42">
        <f>F86+F87+F88+F89+F90</f>
        <v/>
      </c>
      <c r="G91" s="42">
        <f>G86+G87+G88+G89+G90</f>
        <v/>
      </c>
      <c r="H91" s="42">
        <f>H86+H87+H88+H89+H90</f>
        <v/>
      </c>
      <c r="I91" s="42">
        <f>I86+I87+I88+I89+I90</f>
        <v/>
      </c>
      <c r="J91" s="42">
        <f>J86+J87+J88+J89+J90</f>
        <v/>
      </c>
      <c r="K91" s="42">
        <f>K86+K87+K88+K89+K90</f>
        <v/>
      </c>
      <c r="L91" s="42">
        <f>L86+L87+L88+L89+L90</f>
        <v/>
      </c>
      <c r="M91" s="42">
        <f>M86+M87+M88+M89+M90</f>
        <v/>
      </c>
      <c r="N91" s="42">
        <f>BI91</f>
        <v/>
      </c>
      <c r="O91" s="42">
        <f>BM91</f>
        <v/>
      </c>
      <c r="P91" s="42">
        <f>BQ91</f>
        <v/>
      </c>
      <c r="R91" s="42">
        <f>R86+R87+R88+R89+R90</f>
        <v/>
      </c>
      <c r="S91" s="42">
        <f>S86+S87+S88+S89+S90</f>
        <v/>
      </c>
      <c r="T91" s="42">
        <f>T86+T87+T88+T89+T90</f>
        <v/>
      </c>
      <c r="U91" s="42">
        <f>U86+U87+U88+U89+U90</f>
        <v/>
      </c>
      <c r="V91" s="42">
        <f>V86+V87+V88+V89+V90</f>
        <v/>
      </c>
      <c r="W91" s="42">
        <f>W86+W87+W88+W89+W90</f>
        <v/>
      </c>
      <c r="X91" s="42">
        <f>X86+X87+X88+X89+X90</f>
        <v/>
      </c>
      <c r="Y91" s="42">
        <f>Y86+Y87+Y88+Y89+Y90</f>
        <v/>
      </c>
      <c r="Z91" s="42">
        <f>Z86+Z87+Z88+Z89+Z90</f>
        <v/>
      </c>
      <c r="AA91" s="42">
        <f>AA86+AA87+AA88+AA89+AA90</f>
        <v/>
      </c>
      <c r="AB91" s="42">
        <f>AB86+AB87+AB88+AB89+AB90</f>
        <v/>
      </c>
      <c r="AC91" s="42">
        <f>AC86+AC87+AC88+AC89+AC90</f>
        <v/>
      </c>
      <c r="AD91" s="42">
        <f>AD86+AD87+AD88+AD89+AD90</f>
        <v/>
      </c>
      <c r="AE91" s="42">
        <f>AE86+AE87+AE88+AE89+AE90</f>
        <v/>
      </c>
      <c r="AF91" s="42">
        <f>AF86+AF87+AF88+AF89+AF90</f>
        <v/>
      </c>
      <c r="AG91" s="42">
        <f>AG86+AG87+AG88+AG89+AG90</f>
        <v/>
      </c>
      <c r="AH91" s="42">
        <f>AH86+AH87+AH88+AH89+AH90</f>
        <v/>
      </c>
      <c r="AI91" s="42">
        <f>AI86+AI87+AI88+AI89+AI90</f>
        <v/>
      </c>
      <c r="AJ91" s="42">
        <f>AJ86+AJ87+AJ88+AJ89+AJ90</f>
        <v/>
      </c>
      <c r="AK91" s="42">
        <f>AK86+AK87+AK88+AK89+AK90</f>
        <v/>
      </c>
      <c r="AL91" s="42">
        <f>AL86+AL87+AL88+AL89+AL90</f>
        <v/>
      </c>
      <c r="AM91" s="42">
        <f>AM86+AM87+AM88+AM89+AM90</f>
        <v/>
      </c>
      <c r="AN91" s="42">
        <f>AN86+AN87+AN88+AN89+AN90</f>
        <v/>
      </c>
      <c r="AO91" s="42">
        <f>AO86+AO87+AO88+AO89+AO90</f>
        <v/>
      </c>
      <c r="AP91" s="42">
        <f>AP86+AP87+AP88+AP89+AP90</f>
        <v/>
      </c>
      <c r="AQ91" s="42">
        <f>AQ86+AQ87+AQ88+AQ89+AQ90</f>
        <v/>
      </c>
      <c r="AR91" s="42">
        <f>AR86+AR87+AR88+AR89+AR90</f>
        <v/>
      </c>
      <c r="AS91" s="42">
        <f>AS86+AS87+AS88+AS89+AS90</f>
        <v/>
      </c>
      <c r="AT91" s="42">
        <f>AT86+AT87+AT88+AT89+AT90</f>
        <v/>
      </c>
      <c r="AU91" s="42">
        <f>AU86+AU87+AU88+AU89+AU90</f>
        <v/>
      </c>
      <c r="AV91" s="42">
        <f>AV86+AV87+AV88+AV89+AV90</f>
        <v/>
      </c>
      <c r="AW91" s="42">
        <f>AW86+AW87+AW88+AW89+AW90</f>
        <v/>
      </c>
      <c r="AX91" s="42">
        <f>AX86+AX87+AX88+AX89+AX90</f>
        <v/>
      </c>
      <c r="AY91" s="42">
        <f>AY86+AY87+AY88+AY89+AY90</f>
        <v/>
      </c>
      <c r="AZ91" s="42">
        <f>AZ86+AZ87+AZ88+AZ89+AZ90</f>
        <v/>
      </c>
      <c r="BA91" s="42">
        <f>BA86+BA87+BA88+BA89+BA90</f>
        <v/>
      </c>
      <c r="BB91" s="42">
        <f>BB86+BB87+BB88+BB89+BB90</f>
        <v/>
      </c>
      <c r="BC91" s="42">
        <f>BC86+BC87+BC88+BC89+BC90</f>
        <v/>
      </c>
      <c r="BD91" s="42">
        <f>BD86+BD87+BD88+BD89+BD90</f>
        <v/>
      </c>
      <c r="BE91" s="42">
        <f>BE86+BE87+BE88+BE89+BE90</f>
        <v/>
      </c>
      <c r="BF91" s="42">
        <f>BF86+BF87+BF88+BF89+BF90</f>
        <v/>
      </c>
      <c r="BG91" s="42">
        <f>BG86+BG87+BG88+BG89+BG90</f>
        <v/>
      </c>
      <c r="BH91" s="42">
        <f>BH86+BH87+BH88+BH89+BH90</f>
        <v/>
      </c>
      <c r="BI91" s="42">
        <f>BI86+BI87+BI88+BI89+BI90</f>
        <v/>
      </c>
      <c r="BJ91" s="42">
        <f>BJ86+BJ87+BJ88+BJ89+BJ90</f>
        <v/>
      </c>
      <c r="BK91" s="42">
        <f>BK86+BK87+BK88+BK89+BK90</f>
        <v/>
      </c>
      <c r="BL91" s="42">
        <f>BL86+BL87+BL88+BL89+BL90</f>
        <v/>
      </c>
      <c r="BM91" s="42">
        <f>BM86+BM87+BM88+BM89+BM90</f>
        <v/>
      </c>
      <c r="BN91" s="42">
        <f>BN86+BN87+BN88+BN89+BN90</f>
        <v/>
      </c>
      <c r="BO91" s="42">
        <f>BO86+BO87+BO88+BO89+BO90</f>
        <v/>
      </c>
      <c r="BP91" s="42">
        <f>BP86+BP87+BP88+BP89+BP90</f>
        <v/>
      </c>
      <c r="BQ91" s="42">
        <f>BQ86+BQ87+BQ88+BQ89+BQ90</f>
        <v/>
      </c>
      <c r="BR91" s="30" t="inlineStr">
        <is>
          <t>资产总计。必须=负债+权益。</t>
        </is>
      </c>
    </row>
    <row r="92">
      <c r="A92" s="4" t="inlineStr">
        <is>
          <t>BS</t>
        </is>
      </c>
      <c r="B92" s="7" t="inlineStr">
        <is>
          <t>Accounts payable</t>
        </is>
      </c>
      <c r="C92" s="4" t="inlineStr">
        <is>
          <t>$000</t>
        </is>
      </c>
      <c r="D92" s="35" t="n">
        <v>6757</v>
      </c>
      <c r="E92" s="35" t="n">
        <v>16939</v>
      </c>
      <c r="F92" s="35" t="n">
        <v>15588</v>
      </c>
      <c r="G92" s="35" t="n">
        <v>13442</v>
      </c>
      <c r="H92" s="35" t="n">
        <v>32751</v>
      </c>
      <c r="I92" s="35" t="n">
        <v>52976</v>
      </c>
      <c r="J92" s="35" t="n">
        <v>68576</v>
      </c>
      <c r="K92" s="35" t="n">
        <v>21551</v>
      </c>
      <c r="L92" s="35" t="n">
        <v>31378</v>
      </c>
      <c r="M92" s="35" t="n">
        <v>37916</v>
      </c>
      <c r="N92" s="36">
        <f>BI92</f>
        <v/>
      </c>
      <c r="O92" s="37">
        <f>BM92</f>
        <v/>
      </c>
      <c r="P92" s="37">
        <f>BQ92</f>
        <v/>
      </c>
      <c r="R92" s="35" t="n">
        <v>7818</v>
      </c>
      <c r="S92" s="35" t="n">
        <v>8114</v>
      </c>
      <c r="T92" s="35" t="n">
        <v>7061</v>
      </c>
      <c r="U92" s="35" t="n">
        <v>6757</v>
      </c>
      <c r="V92" s="35" t="n">
        <v>15319</v>
      </c>
      <c r="W92" s="35" t="n">
        <v>21359</v>
      </c>
      <c r="X92" s="35" t="n">
        <v>14082</v>
      </c>
      <c r="Y92" s="35" t="n">
        <v>16939</v>
      </c>
      <c r="Z92" s="35" t="n">
        <v>12363</v>
      </c>
      <c r="AA92" s="35" t="n">
        <v>11894</v>
      </c>
      <c r="AB92" s="35" t="n">
        <v>11906</v>
      </c>
      <c r="AC92" s="35" t="n">
        <v>15588</v>
      </c>
      <c r="AD92" s="35" t="n">
        <v>13306</v>
      </c>
      <c r="AE92" s="35" t="n">
        <v>16995</v>
      </c>
      <c r="AF92" s="35" t="n">
        <v>13533</v>
      </c>
      <c r="AG92" s="35" t="n">
        <v>13442</v>
      </c>
      <c r="AH92" s="35" t="n">
        <v>13597</v>
      </c>
      <c r="AI92" s="35" t="n">
        <v>17832</v>
      </c>
      <c r="AJ92" s="35" t="n">
        <v>50574</v>
      </c>
      <c r="AK92" s="35" t="n">
        <v>32751</v>
      </c>
      <c r="AL92" s="35" t="n">
        <v>39061</v>
      </c>
      <c r="AM92" s="35" t="n">
        <v>53483</v>
      </c>
      <c r="AN92" s="35" t="n">
        <v>63635</v>
      </c>
      <c r="AO92" s="35" t="n">
        <v>52976</v>
      </c>
      <c r="AP92" s="35" t="n">
        <v>60214</v>
      </c>
      <c r="AQ92" s="35" t="n">
        <v>73140</v>
      </c>
      <c r="AR92" s="35" t="n">
        <v>90845</v>
      </c>
      <c r="AS92" s="35" t="n">
        <v>68576</v>
      </c>
      <c r="AT92" s="35" t="n">
        <v>54578</v>
      </c>
      <c r="AU92" s="35" t="n">
        <v>45901</v>
      </c>
      <c r="AV92" s="35" t="n">
        <v>45203</v>
      </c>
      <c r="AW92" s="35" t="n">
        <v>21551</v>
      </c>
      <c r="AX92" s="35" t="n">
        <v>32392</v>
      </c>
      <c r="AY92" s="35" t="n">
        <v>35634</v>
      </c>
      <c r="AZ92" s="35" t="n">
        <v>30628</v>
      </c>
      <c r="BA92" s="35" t="n">
        <v>31378</v>
      </c>
      <c r="BB92" s="35" t="n">
        <v>18355</v>
      </c>
      <c r="BC92" s="35" t="n">
        <v>26860</v>
      </c>
      <c r="BD92" s="35" t="n">
        <v>31411</v>
      </c>
      <c r="BE92" s="35" t="n">
        <v>37916</v>
      </c>
      <c r="BF92" s="35" t="n">
        <v>32893</v>
      </c>
      <c r="BG92" s="35" t="n">
        <v>40401</v>
      </c>
      <c r="BH92" s="37">
        <f>BH53/BH$11*BH62</f>
        <v/>
      </c>
      <c r="BI92" s="37">
        <f>BI53/BI$11*BI62</f>
        <v/>
      </c>
      <c r="BJ92" s="37">
        <f>BJ53/BJ$11*BJ62</f>
        <v/>
      </c>
      <c r="BK92" s="37">
        <f>BK53/BK$11*BK62</f>
        <v/>
      </c>
      <c r="BL92" s="37">
        <f>BL53/BL$11*BL62</f>
        <v/>
      </c>
      <c r="BM92" s="37">
        <f>BM53/BM$11*BM62</f>
        <v/>
      </c>
      <c r="BN92" s="37">
        <f>BN53/BN$11*BN62</f>
        <v/>
      </c>
      <c r="BO92" s="37">
        <f>BO53/BO$11*BO62</f>
        <v/>
      </c>
      <c r="BP92" s="37">
        <f>BP53/BP$11*BP62</f>
        <v/>
      </c>
      <c r="BQ92" s="37">
        <f>BQ53/BQ$11*BQ62</f>
        <v/>
      </c>
      <c r="BR92" s="30" t="inlineStr">
        <is>
          <t>应付账款。预测=DPO/天数×COGS。</t>
        </is>
      </c>
    </row>
    <row r="93">
      <c r="A93" s="4" t="inlineStr">
        <is>
          <t>BS</t>
        </is>
      </c>
      <c r="B93" s="7" t="inlineStr">
        <is>
          <t>Short-term debt / revolver</t>
        </is>
      </c>
      <c r="C93" s="4" t="inlineStr">
        <is>
          <t>$000</t>
        </is>
      </c>
      <c r="D93" s="35" t="n">
        <v>0</v>
      </c>
      <c r="E93" s="35" t="n">
        <v>0</v>
      </c>
      <c r="F93" s="35" t="n">
        <v>0</v>
      </c>
      <c r="G93" s="35" t="n">
        <v>0</v>
      </c>
      <c r="H93" s="35" t="n">
        <v>0</v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6">
        <f>BI93</f>
        <v/>
      </c>
      <c r="O93" s="37">
        <f>BM93</f>
        <v/>
      </c>
      <c r="P93" s="37">
        <f>BQ93</f>
        <v/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  <c r="AL93" s="35" t="n">
        <v>0</v>
      </c>
      <c r="AM93" s="35" t="n">
        <v>0</v>
      </c>
      <c r="AN93" s="35" t="n">
        <v>0</v>
      </c>
      <c r="AO93" s="35" t="n">
        <v>0</v>
      </c>
      <c r="AP93" s="35" t="n">
        <v>0</v>
      </c>
      <c r="AQ93" s="35" t="n">
        <v>0</v>
      </c>
      <c r="AR93" s="35" t="n">
        <v>0</v>
      </c>
      <c r="AS93" s="35" t="n">
        <v>0</v>
      </c>
      <c r="AT93" s="35" t="n">
        <v>0</v>
      </c>
      <c r="AU93" s="35" t="n">
        <v>0</v>
      </c>
      <c r="AV93" s="35" t="n">
        <v>0</v>
      </c>
      <c r="AW93" s="35" t="n">
        <v>0</v>
      </c>
      <c r="AX93" s="35" t="n">
        <v>0</v>
      </c>
      <c r="AY93" s="35" t="n">
        <v>0</v>
      </c>
      <c r="AZ93" s="35" t="n">
        <v>0</v>
      </c>
      <c r="BA93" s="35" t="n">
        <v>0</v>
      </c>
      <c r="BB93" s="35" t="n">
        <v>0</v>
      </c>
      <c r="BC93" s="35" t="n">
        <v>0</v>
      </c>
      <c r="BD93" s="35" t="n">
        <v>0</v>
      </c>
      <c r="BE93" s="35" t="n">
        <v>0</v>
      </c>
      <c r="BF93" s="35" t="n">
        <v>0</v>
      </c>
      <c r="BG93" s="35" t="n">
        <v>20000</v>
      </c>
      <c r="BH93" s="43" t="n">
        <v>18000</v>
      </c>
      <c r="BI93" s="43" t="n">
        <v>12000</v>
      </c>
      <c r="BJ93" s="43" t="n">
        <v>8000</v>
      </c>
      <c r="BK93" s="43" t="n">
        <v>4000</v>
      </c>
      <c r="BL93" s="43" t="n">
        <v>0</v>
      </c>
      <c r="BM93" s="43" t="n">
        <v>0</v>
      </c>
      <c r="BN93" s="43" t="n">
        <v>0</v>
      </c>
      <c r="BO93" s="43" t="n">
        <v>0</v>
      </c>
      <c r="BP93" s="43" t="n">
        <v>0</v>
      </c>
      <c r="BQ93" s="43" t="n">
        <v>0</v>
      </c>
      <c r="BR93" s="30" t="inlineStr">
        <is>
          <t>短期债务。Q2'26提取循环贷$20m。预测随FCF偿还。</t>
        </is>
      </c>
    </row>
    <row r="94">
      <c r="A94" s="4" t="inlineStr">
        <is>
          <t>BS</t>
        </is>
      </c>
      <c r="B94" s="7" t="inlineStr">
        <is>
          <t>Other current liabilities</t>
        </is>
      </c>
      <c r="C94" s="4" t="inlineStr">
        <is>
          <t>$000</t>
        </is>
      </c>
      <c r="D94" s="35" t="n">
        <v>47786</v>
      </c>
      <c r="E94" s="35" t="n">
        <v>59447</v>
      </c>
      <c r="F94" s="35" t="n">
        <v>59741</v>
      </c>
      <c r="G94" s="35" t="n">
        <v>53120</v>
      </c>
      <c r="H94" s="35" t="n">
        <v>200910</v>
      </c>
      <c r="I94" s="35" t="n">
        <v>154419</v>
      </c>
      <c r="J94" s="35" t="n">
        <v>272510</v>
      </c>
      <c r="K94" s="35" t="n">
        <v>200578</v>
      </c>
      <c r="L94" s="35" t="n">
        <v>150906</v>
      </c>
      <c r="M94" s="35" t="n">
        <v>148104</v>
      </c>
      <c r="N94" s="36">
        <f>BI94</f>
        <v/>
      </c>
      <c r="O94" s="37">
        <f>BM94</f>
        <v/>
      </c>
      <c r="P94" s="37">
        <f>BQ94</f>
        <v/>
      </c>
      <c r="R94" s="35" t="n">
        <v>55456</v>
      </c>
      <c r="S94" s="35" t="n">
        <v>47506</v>
      </c>
      <c r="T94" s="35" t="n">
        <v>47430</v>
      </c>
      <c r="U94" s="35" t="n">
        <v>47786</v>
      </c>
      <c r="V94" s="35" t="n">
        <v>49236</v>
      </c>
      <c r="W94" s="35" t="n">
        <v>88838</v>
      </c>
      <c r="X94" s="35" t="n">
        <v>84299</v>
      </c>
      <c r="Y94" s="35" t="n">
        <v>59447</v>
      </c>
      <c r="Z94" s="35" t="n">
        <v>54698</v>
      </c>
      <c r="AA94" s="35" t="n">
        <v>68266</v>
      </c>
      <c r="AB94" s="35" t="n">
        <v>54558</v>
      </c>
      <c r="AC94" s="35" t="n">
        <v>59741</v>
      </c>
      <c r="AD94" s="35" t="n">
        <v>60177</v>
      </c>
      <c r="AE94" s="35" t="n">
        <v>49923</v>
      </c>
      <c r="AF94" s="35" t="n">
        <v>49586</v>
      </c>
      <c r="AG94" s="35" t="n">
        <v>53120</v>
      </c>
      <c r="AH94" s="35" t="n">
        <v>48831</v>
      </c>
      <c r="AI94" s="35" t="n">
        <v>52132</v>
      </c>
      <c r="AJ94" s="35" t="n">
        <v>160800</v>
      </c>
      <c r="AK94" s="35" t="n">
        <v>200910</v>
      </c>
      <c r="AL94" s="35" t="n">
        <v>158576</v>
      </c>
      <c r="AM94" s="35" t="n">
        <v>158306</v>
      </c>
      <c r="AN94" s="35" t="n">
        <v>167639</v>
      </c>
      <c r="AO94" s="35" t="n">
        <v>154419</v>
      </c>
      <c r="AP94" s="35" t="n">
        <v>174581</v>
      </c>
      <c r="AQ94" s="35" t="n">
        <v>242941</v>
      </c>
      <c r="AR94" s="35" t="n">
        <v>260473</v>
      </c>
      <c r="AS94" s="35" t="n">
        <v>272510</v>
      </c>
      <c r="AT94" s="35" t="n">
        <v>245584</v>
      </c>
      <c r="AU94" s="35" t="n">
        <v>195828</v>
      </c>
      <c r="AV94" s="35" t="n">
        <v>187707</v>
      </c>
      <c r="AW94" s="35" t="n">
        <v>200578</v>
      </c>
      <c r="AX94" s="35" t="n">
        <v>191462</v>
      </c>
      <c r="AY94" s="35" t="n">
        <v>154643</v>
      </c>
      <c r="AZ94" s="35" t="n">
        <v>137969</v>
      </c>
      <c r="BA94" s="35" t="n">
        <v>150906</v>
      </c>
      <c r="BB94" s="35" t="n">
        <v>178538</v>
      </c>
      <c r="BC94" s="35" t="n">
        <v>186632</v>
      </c>
      <c r="BD94" s="35" t="n">
        <v>152140</v>
      </c>
      <c r="BE94" s="35" t="n">
        <v>148104</v>
      </c>
      <c r="BF94" s="35" t="n">
        <v>113765</v>
      </c>
      <c r="BG94" s="35" t="n">
        <v>107723</v>
      </c>
      <c r="BH94" s="37">
        <f>BG94</f>
        <v/>
      </c>
      <c r="BI94" s="37">
        <f>BH94</f>
        <v/>
      </c>
      <c r="BJ94" s="37">
        <f>BI94</f>
        <v/>
      </c>
      <c r="BK94" s="37">
        <f>BJ94</f>
        <v/>
      </c>
      <c r="BL94" s="37">
        <f>BK94</f>
        <v/>
      </c>
      <c r="BM94" s="37">
        <f>BL94</f>
        <v/>
      </c>
      <c r="BN94" s="37">
        <f>BM94</f>
        <v/>
      </c>
      <c r="BO94" s="37">
        <f>BN94</f>
        <v/>
      </c>
      <c r="BP94" s="37">
        <f>BO94</f>
        <v/>
      </c>
      <c r="BQ94" s="37">
        <f>BP94</f>
        <v/>
      </c>
      <c r="BR94" s="30" t="inlineStr">
        <is>
          <t>其他流动负债=CL−AP−短期债务。预测持平。</t>
        </is>
      </c>
    </row>
    <row r="95">
      <c r="A95" s="4" t="inlineStr">
        <is>
          <t>BS</t>
        </is>
      </c>
      <c r="B95" s="7" t="inlineStr">
        <is>
          <t>Total current liabilities</t>
        </is>
      </c>
      <c r="C95" s="4" t="inlineStr">
        <is>
          <t>$000</t>
        </is>
      </c>
      <c r="D95" s="38">
        <f>D92+D93+D94</f>
        <v/>
      </c>
      <c r="E95" s="38">
        <f>E92+E93+E94</f>
        <v/>
      </c>
      <c r="F95" s="38">
        <f>F92+F93+F94</f>
        <v/>
      </c>
      <c r="G95" s="38">
        <f>G92+G93+G94</f>
        <v/>
      </c>
      <c r="H95" s="38">
        <f>H92+H93+H94</f>
        <v/>
      </c>
      <c r="I95" s="38">
        <f>I92+I93+I94</f>
        <v/>
      </c>
      <c r="J95" s="38">
        <f>J92+J93+J94</f>
        <v/>
      </c>
      <c r="K95" s="38">
        <f>K92+K93+K94</f>
        <v/>
      </c>
      <c r="L95" s="38">
        <f>L92+L93+L94</f>
        <v/>
      </c>
      <c r="M95" s="38">
        <f>M92+M93+M94</f>
        <v/>
      </c>
      <c r="N95" s="36">
        <f>BI95</f>
        <v/>
      </c>
      <c r="O95" s="37">
        <f>BM95</f>
        <v/>
      </c>
      <c r="P95" s="37">
        <f>BQ95</f>
        <v/>
      </c>
      <c r="R95" s="38">
        <f>R92+R93+R94</f>
        <v/>
      </c>
      <c r="S95" s="38">
        <f>S92+S93+S94</f>
        <v/>
      </c>
      <c r="T95" s="38">
        <f>T92+T93+T94</f>
        <v/>
      </c>
      <c r="U95" s="38">
        <f>U92+U93+U94</f>
        <v/>
      </c>
      <c r="V95" s="38">
        <f>V92+V93+V94</f>
        <v/>
      </c>
      <c r="W95" s="38">
        <f>W92+W93+W94</f>
        <v/>
      </c>
      <c r="X95" s="38">
        <f>X92+X93+X94</f>
        <v/>
      </c>
      <c r="Y95" s="38">
        <f>Y92+Y93+Y94</f>
        <v/>
      </c>
      <c r="Z95" s="38">
        <f>Z92+Z93+Z94</f>
        <v/>
      </c>
      <c r="AA95" s="38">
        <f>AA92+AA93+AA94</f>
        <v/>
      </c>
      <c r="AB95" s="38">
        <f>AB92+AB93+AB94</f>
        <v/>
      </c>
      <c r="AC95" s="38">
        <f>AC92+AC93+AC94</f>
        <v/>
      </c>
      <c r="AD95" s="38">
        <f>AD92+AD93+AD94</f>
        <v/>
      </c>
      <c r="AE95" s="38">
        <f>AE92+AE93+AE94</f>
        <v/>
      </c>
      <c r="AF95" s="38">
        <f>AF92+AF93+AF94</f>
        <v/>
      </c>
      <c r="AG95" s="38">
        <f>AG92+AG93+AG94</f>
        <v/>
      </c>
      <c r="AH95" s="38">
        <f>AH92+AH93+AH94</f>
        <v/>
      </c>
      <c r="AI95" s="38">
        <f>AI92+AI93+AI94</f>
        <v/>
      </c>
      <c r="AJ95" s="38">
        <f>AJ92+AJ93+AJ94</f>
        <v/>
      </c>
      <c r="AK95" s="38">
        <f>AK92+AK93+AK94</f>
        <v/>
      </c>
      <c r="AL95" s="38">
        <f>AL92+AL93+AL94</f>
        <v/>
      </c>
      <c r="AM95" s="38">
        <f>AM92+AM93+AM94</f>
        <v/>
      </c>
      <c r="AN95" s="38">
        <f>AN92+AN93+AN94</f>
        <v/>
      </c>
      <c r="AO95" s="38">
        <f>AO92+AO93+AO94</f>
        <v/>
      </c>
      <c r="AP95" s="38">
        <f>AP92+AP93+AP94</f>
        <v/>
      </c>
      <c r="AQ95" s="38">
        <f>AQ92+AQ93+AQ94</f>
        <v/>
      </c>
      <c r="AR95" s="38">
        <f>AR92+AR93+AR94</f>
        <v/>
      </c>
      <c r="AS95" s="38">
        <f>AS92+AS93+AS94</f>
        <v/>
      </c>
      <c r="AT95" s="38">
        <f>AT92+AT93+AT94</f>
        <v/>
      </c>
      <c r="AU95" s="38">
        <f>AU92+AU93+AU94</f>
        <v/>
      </c>
      <c r="AV95" s="38">
        <f>AV92+AV93+AV94</f>
        <v/>
      </c>
      <c r="AW95" s="38">
        <f>AW92+AW93+AW94</f>
        <v/>
      </c>
      <c r="AX95" s="38">
        <f>AX92+AX93+AX94</f>
        <v/>
      </c>
      <c r="AY95" s="38">
        <f>AY92+AY93+AY94</f>
        <v/>
      </c>
      <c r="AZ95" s="38">
        <f>AZ92+AZ93+AZ94</f>
        <v/>
      </c>
      <c r="BA95" s="38">
        <f>BA92+BA93+BA94</f>
        <v/>
      </c>
      <c r="BB95" s="38">
        <f>BB92+BB93+BB94</f>
        <v/>
      </c>
      <c r="BC95" s="38">
        <f>BC92+BC93+BC94</f>
        <v/>
      </c>
      <c r="BD95" s="38">
        <f>BD92+BD93+BD94</f>
        <v/>
      </c>
      <c r="BE95" s="38">
        <f>BE92+BE93+BE94</f>
        <v/>
      </c>
      <c r="BF95" s="38">
        <f>BF92+BF93+BF94</f>
        <v/>
      </c>
      <c r="BG95" s="38">
        <f>BG92+BG93+BG94</f>
        <v/>
      </c>
      <c r="BH95" s="37">
        <f>BH92+BH93+BH94</f>
        <v/>
      </c>
      <c r="BI95" s="37">
        <f>BI92+BI93+BI94</f>
        <v/>
      </c>
      <c r="BJ95" s="37">
        <f>BJ92+BJ93+BJ94</f>
        <v/>
      </c>
      <c r="BK95" s="37">
        <f>BK92+BK93+BK94</f>
        <v/>
      </c>
      <c r="BL95" s="37">
        <f>BL92+BL93+BL94</f>
        <v/>
      </c>
      <c r="BM95" s="37">
        <f>BM92+BM93+BM94</f>
        <v/>
      </c>
      <c r="BN95" s="37">
        <f>BN92+BN93+BN94</f>
        <v/>
      </c>
      <c r="BO95" s="37">
        <f>BO92+BO93+BO94</f>
        <v/>
      </c>
      <c r="BP95" s="37">
        <f>BP92+BP93+BP94</f>
        <v/>
      </c>
      <c r="BQ95" s="37">
        <f>BQ92+BQ93+BQ94</f>
        <v/>
      </c>
      <c r="BR95" s="30" t="inlineStr">
        <is>
          <t>流动负债合计。</t>
        </is>
      </c>
    </row>
    <row r="96">
      <c r="A96" s="4" t="inlineStr">
        <is>
          <t>BS</t>
        </is>
      </c>
      <c r="B96" s="7" t="inlineStr">
        <is>
          <t>Long-term debt</t>
        </is>
      </c>
      <c r="C96" s="4" t="inlineStr">
        <is>
          <t>$000</t>
        </is>
      </c>
      <c r="D96" s="35" t="n">
        <v>0</v>
      </c>
      <c r="E96" s="35" t="n">
        <v>347609</v>
      </c>
      <c r="F96" s="35" t="n">
        <v>255757</v>
      </c>
      <c r="G96" s="35" t="n">
        <v>206909</v>
      </c>
      <c r="H96" s="35" t="n">
        <v>363592</v>
      </c>
      <c r="I96" s="35" t="n">
        <v>306153</v>
      </c>
      <c r="J96" s="35" t="n">
        <v>121757</v>
      </c>
      <c r="K96" s="35" t="n">
        <v>122375</v>
      </c>
      <c r="L96" s="35" t="n">
        <v>122996</v>
      </c>
      <c r="M96" s="35" t="n">
        <v>123618</v>
      </c>
      <c r="N96" s="36">
        <f>BI96</f>
        <v/>
      </c>
      <c r="O96" s="37">
        <f>BM96</f>
        <v/>
      </c>
      <c r="P96" s="37">
        <f>BQ96</f>
        <v/>
      </c>
      <c r="R96" s="35" t="n">
        <v>0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415032</v>
      </c>
      <c r="X96" s="35" t="n">
        <v>367322</v>
      </c>
      <c r="Y96" s="35" t="n">
        <v>347609</v>
      </c>
      <c r="Z96" s="35" t="n">
        <v>322896</v>
      </c>
      <c r="AA96" s="35" t="n">
        <v>305183</v>
      </c>
      <c r="AB96" s="35" t="n">
        <v>270470</v>
      </c>
      <c r="AC96" s="35" t="n">
        <v>255757</v>
      </c>
      <c r="AD96" s="35" t="n">
        <v>241044</v>
      </c>
      <c r="AE96" s="35" t="n">
        <v>226335</v>
      </c>
      <c r="AF96" s="35" t="n">
        <v>206622</v>
      </c>
      <c r="AG96" s="35" t="n">
        <v>206909</v>
      </c>
      <c r="AH96" s="35" t="n">
        <v>207197</v>
      </c>
      <c r="AI96" s="35" t="n">
        <v>207486</v>
      </c>
      <c r="AJ96" s="35" t="n">
        <v>372457</v>
      </c>
      <c r="AK96" s="35" t="n">
        <v>363592</v>
      </c>
      <c r="AL96" s="35" t="n">
        <v>344116</v>
      </c>
      <c r="AM96" s="35" t="n">
        <v>343022</v>
      </c>
      <c r="AN96" s="35" t="n">
        <v>326027</v>
      </c>
      <c r="AO96" s="35" t="n">
        <v>306153</v>
      </c>
      <c r="AP96" s="35" t="n">
        <v>286298</v>
      </c>
      <c r="AQ96" s="35" t="n">
        <v>246450</v>
      </c>
      <c r="AR96" s="35" t="n">
        <v>171607</v>
      </c>
      <c r="AS96" s="35" t="n">
        <v>121757</v>
      </c>
      <c r="AT96" s="35" t="n">
        <v>121910</v>
      </c>
      <c r="AU96" s="35" t="n">
        <v>122064</v>
      </c>
      <c r="AV96" s="35" t="n">
        <v>122219</v>
      </c>
      <c r="AW96" s="35" t="n">
        <v>122375</v>
      </c>
      <c r="AX96" s="35" t="n">
        <v>122529</v>
      </c>
      <c r="AY96" s="35" t="n">
        <v>122684</v>
      </c>
      <c r="AZ96" s="35" t="n">
        <v>122840</v>
      </c>
      <c r="BA96" s="35" t="n">
        <v>122996</v>
      </c>
      <c r="BB96" s="35" t="n">
        <v>123150</v>
      </c>
      <c r="BC96" s="35" t="n">
        <v>123305</v>
      </c>
      <c r="BD96" s="35" t="n">
        <v>123461</v>
      </c>
      <c r="BE96" s="35" t="n">
        <v>123618</v>
      </c>
      <c r="BF96" s="35" t="n">
        <v>123773</v>
      </c>
      <c r="BG96" s="35" t="n">
        <v>123926</v>
      </c>
      <c r="BH96" s="43" t="n">
        <v>124080</v>
      </c>
      <c r="BI96" s="43" t="n">
        <v>124240</v>
      </c>
      <c r="BJ96" s="43" t="n">
        <v>124400</v>
      </c>
      <c r="BK96" s="43" t="n">
        <v>124560</v>
      </c>
      <c r="BL96" s="43" t="n">
        <v>124720</v>
      </c>
      <c r="BM96" s="43" t="n">
        <v>120000</v>
      </c>
      <c r="BN96" s="43" t="n">
        <v>115000</v>
      </c>
      <c r="BO96" s="43" t="n">
        <v>110000</v>
      </c>
      <c r="BP96" s="43" t="n">
        <v>105000</v>
      </c>
      <c r="BQ96" s="43" t="n">
        <v>100000</v>
      </c>
      <c r="BR96" s="30" t="inlineStr">
        <is>
          <t>长期债务（定期贷款账面，含发行成本摊销微增）。Q2'26 $123.9m。2028起偿还。</t>
        </is>
      </c>
    </row>
    <row r="97">
      <c r="A97" s="4" t="inlineStr">
        <is>
          <t>BS</t>
        </is>
      </c>
      <c r="B97" s="7" t="inlineStr">
        <is>
          <t>Other non-current liabilities</t>
        </is>
      </c>
      <c r="C97" s="4" t="inlineStr">
        <is>
          <t>$000</t>
        </is>
      </c>
      <c r="D97" s="35" t="n">
        <v>15685</v>
      </c>
      <c r="E97" s="35" t="n">
        <v>13443</v>
      </c>
      <c r="F97" s="35" t="n">
        <v>12571</v>
      </c>
      <c r="G97" s="35" t="n">
        <v>17400</v>
      </c>
      <c r="H97" s="35" t="n">
        <v>34072</v>
      </c>
      <c r="I97" s="35" t="n">
        <v>47638</v>
      </c>
      <c r="J97" s="35" t="n">
        <v>40797</v>
      </c>
      <c r="K97" s="35" t="n">
        <v>49488</v>
      </c>
      <c r="L97" s="35" t="n">
        <v>43076</v>
      </c>
      <c r="M97" s="35" t="n">
        <v>34863</v>
      </c>
      <c r="N97" s="36">
        <f>BI97</f>
        <v/>
      </c>
      <c r="O97" s="37">
        <f>BM97</f>
        <v/>
      </c>
      <c r="P97" s="37">
        <f>BQ97</f>
        <v/>
      </c>
      <c r="R97" s="35" t="n">
        <v>14968</v>
      </c>
      <c r="S97" s="35" t="n">
        <v>15104</v>
      </c>
      <c r="T97" s="35" t="n">
        <v>15182</v>
      </c>
      <c r="U97" s="35" t="n">
        <v>15685</v>
      </c>
      <c r="V97" s="35" t="n">
        <v>15529</v>
      </c>
      <c r="W97" s="35" t="n">
        <v>14491</v>
      </c>
      <c r="X97" s="35" t="n">
        <v>14663</v>
      </c>
      <c r="Y97" s="35" t="n">
        <v>13443</v>
      </c>
      <c r="Z97" s="35" t="n">
        <v>12309</v>
      </c>
      <c r="AA97" s="35" t="n">
        <v>13102</v>
      </c>
      <c r="AB97" s="35" t="n">
        <v>12816</v>
      </c>
      <c r="AC97" s="35" t="n">
        <v>12571</v>
      </c>
      <c r="AD97" s="35" t="n">
        <v>26151</v>
      </c>
      <c r="AE97" s="35" t="n">
        <v>24531</v>
      </c>
      <c r="AF97" s="35" t="n">
        <v>23673</v>
      </c>
      <c r="AG97" s="35" t="n">
        <v>17400</v>
      </c>
      <c r="AH97" s="35" t="n">
        <v>15643</v>
      </c>
      <c r="AI97" s="35" t="n">
        <v>13635</v>
      </c>
      <c r="AJ97" s="35" t="n">
        <v>27140</v>
      </c>
      <c r="AK97" s="35" t="n">
        <v>34072</v>
      </c>
      <c r="AL97" s="35" t="n">
        <v>36068</v>
      </c>
      <c r="AM97" s="35" t="n">
        <v>38149</v>
      </c>
      <c r="AN97" s="35" t="n">
        <v>39050</v>
      </c>
      <c r="AO97" s="35" t="n">
        <v>47638</v>
      </c>
      <c r="AP97" s="35" t="n">
        <v>50188</v>
      </c>
      <c r="AQ97" s="35" t="n">
        <v>48565</v>
      </c>
      <c r="AR97" s="35" t="n">
        <v>43892</v>
      </c>
      <c r="AS97" s="35" t="n">
        <v>40797</v>
      </c>
      <c r="AT97" s="35" t="n">
        <v>42294</v>
      </c>
      <c r="AU97" s="35" t="n">
        <v>51640</v>
      </c>
      <c r="AV97" s="35" t="n">
        <v>45981</v>
      </c>
      <c r="AW97" s="35" t="n">
        <v>49488</v>
      </c>
      <c r="AX97" s="35" t="n">
        <v>46259</v>
      </c>
      <c r="AY97" s="35" t="n">
        <v>42981</v>
      </c>
      <c r="AZ97" s="35" t="n">
        <v>46994</v>
      </c>
      <c r="BA97" s="35" t="n">
        <v>43076</v>
      </c>
      <c r="BB97" s="35" t="n">
        <v>42063</v>
      </c>
      <c r="BC97" s="35" t="n">
        <v>38609</v>
      </c>
      <c r="BD97" s="35" t="n">
        <v>36394</v>
      </c>
      <c r="BE97" s="35" t="n">
        <v>34863</v>
      </c>
      <c r="BF97" s="35" t="n">
        <v>46645</v>
      </c>
      <c r="BG97" s="35" t="n">
        <v>45681</v>
      </c>
      <c r="BH97" s="37">
        <f>BG97</f>
        <v/>
      </c>
      <c r="BI97" s="37">
        <f>BH97</f>
        <v/>
      </c>
      <c r="BJ97" s="37">
        <f>BI97</f>
        <v/>
      </c>
      <c r="BK97" s="37">
        <f>BJ97</f>
        <v/>
      </c>
      <c r="BL97" s="37">
        <f>BK97</f>
        <v/>
      </c>
      <c r="BM97" s="37">
        <f>BL97</f>
        <v/>
      </c>
      <c r="BN97" s="37">
        <f>BM97</f>
        <v/>
      </c>
      <c r="BO97" s="37">
        <f>BN97</f>
        <v/>
      </c>
      <c r="BP97" s="37">
        <f>BO97</f>
        <v/>
      </c>
      <c r="BQ97" s="37">
        <f>BP97</f>
        <v/>
      </c>
      <c r="BR97" s="30" t="inlineStr">
        <is>
          <t>其他非流动负债（租赁等）。预测持平。</t>
        </is>
      </c>
    </row>
    <row r="98">
      <c r="A98" s="4" t="inlineStr">
        <is>
          <t>BS</t>
        </is>
      </c>
      <c r="B98" s="5" t="inlineStr">
        <is>
          <t>TOTAL LIABILITIES</t>
        </is>
      </c>
      <c r="C98" s="4" t="inlineStr">
        <is>
          <t>$000</t>
        </is>
      </c>
      <c r="D98" s="42">
        <f>D95+D96+D97</f>
        <v/>
      </c>
      <c r="E98" s="42">
        <f>E95+E96+E97</f>
        <v/>
      </c>
      <c r="F98" s="42">
        <f>F95+F96+F97</f>
        <v/>
      </c>
      <c r="G98" s="42">
        <f>G95+G96+G97</f>
        <v/>
      </c>
      <c r="H98" s="42">
        <f>H95+H96+H97</f>
        <v/>
      </c>
      <c r="I98" s="42">
        <f>I95+I96+I97</f>
        <v/>
      </c>
      <c r="J98" s="42">
        <f>J95+J96+J97</f>
        <v/>
      </c>
      <c r="K98" s="42">
        <f>K95+K96+K97</f>
        <v/>
      </c>
      <c r="L98" s="42">
        <f>L95+L96+L97</f>
        <v/>
      </c>
      <c r="M98" s="42">
        <f>M95+M96+M97</f>
        <v/>
      </c>
      <c r="N98" s="52">
        <f>BI98</f>
        <v/>
      </c>
      <c r="O98" s="53">
        <f>BM98</f>
        <v/>
      </c>
      <c r="P98" s="53">
        <f>BQ98</f>
        <v/>
      </c>
      <c r="R98" s="42">
        <f>R95+R96+R97</f>
        <v/>
      </c>
      <c r="S98" s="42">
        <f>S95+S96+S97</f>
        <v/>
      </c>
      <c r="T98" s="42">
        <f>T95+T96+T97</f>
        <v/>
      </c>
      <c r="U98" s="42">
        <f>U95+U96+U97</f>
        <v/>
      </c>
      <c r="V98" s="42">
        <f>V95+V96+V97</f>
        <v/>
      </c>
      <c r="W98" s="42">
        <f>W95+W96+W97</f>
        <v/>
      </c>
      <c r="X98" s="42">
        <f>X95+X96+X97</f>
        <v/>
      </c>
      <c r="Y98" s="42">
        <f>Y95+Y96+Y97</f>
        <v/>
      </c>
      <c r="Z98" s="42">
        <f>Z95+Z96+Z97</f>
        <v/>
      </c>
      <c r="AA98" s="42">
        <f>AA95+AA96+AA97</f>
        <v/>
      </c>
      <c r="AB98" s="42">
        <f>AB95+AB96+AB97</f>
        <v/>
      </c>
      <c r="AC98" s="42">
        <f>AC95+AC96+AC97</f>
        <v/>
      </c>
      <c r="AD98" s="42">
        <f>AD95+AD96+AD97</f>
        <v/>
      </c>
      <c r="AE98" s="42">
        <f>AE95+AE96+AE97</f>
        <v/>
      </c>
      <c r="AF98" s="42">
        <f>AF95+AF96+AF97</f>
        <v/>
      </c>
      <c r="AG98" s="42">
        <f>AG95+AG96+AG97</f>
        <v/>
      </c>
      <c r="AH98" s="42">
        <f>AH95+AH96+AH97</f>
        <v/>
      </c>
      <c r="AI98" s="42">
        <f>AI95+AI96+AI97</f>
        <v/>
      </c>
      <c r="AJ98" s="42">
        <f>AJ95+AJ96+AJ97</f>
        <v/>
      </c>
      <c r="AK98" s="42">
        <f>AK95+AK96+AK97</f>
        <v/>
      </c>
      <c r="AL98" s="42">
        <f>AL95+AL96+AL97</f>
        <v/>
      </c>
      <c r="AM98" s="42">
        <f>AM95+AM96+AM97</f>
        <v/>
      </c>
      <c r="AN98" s="42">
        <f>AN95+AN96+AN97</f>
        <v/>
      </c>
      <c r="AO98" s="42">
        <f>AO95+AO96+AO97</f>
        <v/>
      </c>
      <c r="AP98" s="42">
        <f>AP95+AP96+AP97</f>
        <v/>
      </c>
      <c r="AQ98" s="42">
        <f>AQ95+AQ96+AQ97</f>
        <v/>
      </c>
      <c r="AR98" s="42">
        <f>AR95+AR96+AR97</f>
        <v/>
      </c>
      <c r="AS98" s="42">
        <f>AS95+AS96+AS97</f>
        <v/>
      </c>
      <c r="AT98" s="42">
        <f>AT95+AT96+AT97</f>
        <v/>
      </c>
      <c r="AU98" s="42">
        <f>AU95+AU96+AU97</f>
        <v/>
      </c>
      <c r="AV98" s="42">
        <f>AV95+AV96+AV97</f>
        <v/>
      </c>
      <c r="AW98" s="42">
        <f>AW95+AW96+AW97</f>
        <v/>
      </c>
      <c r="AX98" s="42">
        <f>AX95+AX96+AX97</f>
        <v/>
      </c>
      <c r="AY98" s="42">
        <f>AY95+AY96+AY97</f>
        <v/>
      </c>
      <c r="AZ98" s="42">
        <f>AZ95+AZ96+AZ97</f>
        <v/>
      </c>
      <c r="BA98" s="42">
        <f>BA95+BA96+BA97</f>
        <v/>
      </c>
      <c r="BB98" s="42">
        <f>BB95+BB96+BB97</f>
        <v/>
      </c>
      <c r="BC98" s="42">
        <f>BC95+BC96+BC97</f>
        <v/>
      </c>
      <c r="BD98" s="42">
        <f>BD95+BD96+BD97</f>
        <v/>
      </c>
      <c r="BE98" s="42">
        <f>BE95+BE96+BE97</f>
        <v/>
      </c>
      <c r="BF98" s="42">
        <f>BF95+BF96+BF97</f>
        <v/>
      </c>
      <c r="BG98" s="42">
        <f>BG95+BG96+BG97</f>
        <v/>
      </c>
      <c r="BH98" s="42">
        <f>BH95+BH96+BH97</f>
        <v/>
      </c>
      <c r="BI98" s="42">
        <f>BI95+BI96+BI97</f>
        <v/>
      </c>
      <c r="BJ98" s="42">
        <f>BJ95+BJ96+BJ97</f>
        <v/>
      </c>
      <c r="BK98" s="42">
        <f>BK95+BK96+BK97</f>
        <v/>
      </c>
      <c r="BL98" s="42">
        <f>BL95+BL96+BL97</f>
        <v/>
      </c>
      <c r="BM98" s="42">
        <f>BM95+BM96+BM97</f>
        <v/>
      </c>
      <c r="BN98" s="42">
        <f>BN95+BN96+BN97</f>
        <v/>
      </c>
      <c r="BO98" s="42">
        <f>BO95+BO96+BO97</f>
        <v/>
      </c>
      <c r="BP98" s="42">
        <f>BP95+BP96+BP97</f>
        <v/>
      </c>
      <c r="BQ98" s="42">
        <f>BQ95+BQ96+BQ97</f>
        <v/>
      </c>
      <c r="BR98" s="30" t="inlineStr">
        <is>
          <t>负债合计。</t>
        </is>
      </c>
    </row>
    <row r="99">
      <c r="A99" s="4" t="inlineStr">
        <is>
          <t>BS</t>
        </is>
      </c>
      <c r="B99" s="7" t="inlineStr">
        <is>
          <t>Equity ex-RE (APIC, common, AOCI)</t>
        </is>
      </c>
      <c r="C99" s="4" t="inlineStr">
        <is>
          <t>$000</t>
        </is>
      </c>
      <c r="D99" s="35" t="n">
        <v>412356</v>
      </c>
      <c r="E99" s="35" t="n">
        <v>456543</v>
      </c>
      <c r="F99" s="35" t="n">
        <v>493566</v>
      </c>
      <c r="G99" s="35" t="n">
        <v>528716</v>
      </c>
      <c r="H99" s="35" t="n">
        <v>603506</v>
      </c>
      <c r="I99" s="35" t="n">
        <v>659618</v>
      </c>
      <c r="J99" s="35" t="n">
        <v>721765</v>
      </c>
      <c r="K99" s="35" t="n">
        <v>804792</v>
      </c>
      <c r="L99" s="35" t="n">
        <v>880008</v>
      </c>
      <c r="M99" s="35" t="n">
        <v>952301</v>
      </c>
      <c r="N99" s="36">
        <f>BI99</f>
        <v/>
      </c>
      <c r="O99" s="37">
        <f>BM99</f>
        <v/>
      </c>
      <c r="P99" s="37">
        <f>BQ99</f>
        <v/>
      </c>
      <c r="R99" s="35" t="n">
        <v>390123</v>
      </c>
      <c r="S99" s="35" t="n">
        <v>399147</v>
      </c>
      <c r="T99" s="35" t="n">
        <v>406983</v>
      </c>
      <c r="U99" s="35" t="n">
        <v>412356</v>
      </c>
      <c r="V99" s="35" t="n">
        <v>417482</v>
      </c>
      <c r="W99" s="35" t="n">
        <v>438411</v>
      </c>
      <c r="X99" s="35" t="n">
        <v>446319</v>
      </c>
      <c r="Y99" s="35" t="n">
        <v>456543</v>
      </c>
      <c r="Z99" s="35" t="n">
        <v>472191</v>
      </c>
      <c r="AA99" s="35" t="n">
        <v>480084</v>
      </c>
      <c r="AB99" s="35" t="n">
        <v>486335</v>
      </c>
      <c r="AC99" s="35" t="n">
        <v>493566</v>
      </c>
      <c r="AD99" s="35" t="n">
        <v>506953</v>
      </c>
      <c r="AE99" s="35" t="n">
        <v>512354</v>
      </c>
      <c r="AF99" s="35" t="n">
        <v>519043</v>
      </c>
      <c r="AG99" s="35" t="n">
        <v>528716</v>
      </c>
      <c r="AH99" s="35" t="n">
        <v>537422</v>
      </c>
      <c r="AI99" s="35" t="n">
        <v>553047</v>
      </c>
      <c r="AJ99" s="35" t="n">
        <v>584525</v>
      </c>
      <c r="AK99" s="35" t="n">
        <v>603506</v>
      </c>
      <c r="AL99" s="35" t="n">
        <v>629365</v>
      </c>
      <c r="AM99" s="35" t="n">
        <v>641521</v>
      </c>
      <c r="AN99" s="35" t="n">
        <v>656139</v>
      </c>
      <c r="AO99" s="35" t="n">
        <v>659618</v>
      </c>
      <c r="AP99" s="35" t="n">
        <v>664680</v>
      </c>
      <c r="AQ99" s="35" t="n">
        <v>674465</v>
      </c>
      <c r="AR99" s="35" t="n">
        <v>692341</v>
      </c>
      <c r="AS99" s="35" t="n">
        <v>721765</v>
      </c>
      <c r="AT99" s="35" t="n">
        <v>769959</v>
      </c>
      <c r="AU99" s="35" t="n">
        <v>786245</v>
      </c>
      <c r="AV99" s="35" t="n">
        <v>782704</v>
      </c>
      <c r="AW99" s="35" t="n">
        <v>804792</v>
      </c>
      <c r="AX99" s="35" t="n">
        <v>828819</v>
      </c>
      <c r="AY99" s="35" t="n">
        <v>847357</v>
      </c>
      <c r="AZ99" s="35" t="n">
        <v>862759</v>
      </c>
      <c r="BA99" s="35" t="n">
        <v>880008</v>
      </c>
      <c r="BB99" s="35" t="n">
        <v>906613</v>
      </c>
      <c r="BC99" s="35" t="n">
        <v>928355</v>
      </c>
      <c r="BD99" s="35" t="n">
        <v>950236</v>
      </c>
      <c r="BE99" s="35" t="n">
        <v>952301</v>
      </c>
      <c r="BF99" s="35" t="n">
        <v>999734</v>
      </c>
      <c r="BG99" s="35" t="n">
        <v>1028623</v>
      </c>
      <c r="BH99" s="37">
        <f>BG99+BH57</f>
        <v/>
      </c>
      <c r="BI99" s="37">
        <f>BH99+BI57</f>
        <v/>
      </c>
      <c r="BJ99" s="37">
        <f>BI99+BJ57</f>
        <v/>
      </c>
      <c r="BK99" s="37">
        <f>BJ99+BK57</f>
        <v/>
      </c>
      <c r="BL99" s="37">
        <f>BK99+BL57</f>
        <v/>
      </c>
      <c r="BM99" s="37">
        <f>BL99+BM57</f>
        <v/>
      </c>
      <c r="BN99" s="37">
        <f>BM99+BN57</f>
        <v/>
      </c>
      <c r="BO99" s="37">
        <f>BN99+BO57</f>
        <v/>
      </c>
      <c r="BP99" s="37">
        <f>BO99+BP57</f>
        <v/>
      </c>
      <c r="BQ99" s="37">
        <f>BP99+BQ57</f>
        <v/>
      </c>
      <c r="BR99" s="30" t="inlineStr">
        <is>
          <t>除留存收益外的权益。预测=上期+SBC。</t>
        </is>
      </c>
    </row>
    <row r="100">
      <c r="A100" s="4" t="inlineStr">
        <is>
          <t>BS</t>
        </is>
      </c>
      <c r="B100" s="7" t="inlineStr">
        <is>
          <t>Retained earnings / (accumulated deficit)</t>
        </is>
      </c>
      <c r="C100" s="4" t="inlineStr">
        <is>
          <t>$000</t>
        </is>
      </c>
      <c r="D100" s="35" t="n">
        <v>-59932</v>
      </c>
      <c r="E100" s="35" t="n">
        <v>-69119</v>
      </c>
      <c r="F100" s="35" t="n">
        <v>-93630</v>
      </c>
      <c r="G100" s="35" t="n">
        <v>-113796</v>
      </c>
      <c r="H100" s="35" t="n">
        <v>-212389</v>
      </c>
      <c r="I100" s="35" t="n">
        <v>-170420</v>
      </c>
      <c r="J100" s="35" t="n">
        <v>-45380</v>
      </c>
      <c r="K100" s="35" t="n">
        <v>-118527</v>
      </c>
      <c r="L100" s="35" t="n">
        <v>-363725</v>
      </c>
      <c r="M100" s="35" t="n">
        <v>-500406</v>
      </c>
      <c r="N100" s="36">
        <f>BI100</f>
        <v/>
      </c>
      <c r="O100" s="37">
        <f>BM100</f>
        <v/>
      </c>
      <c r="P100" s="37">
        <f>BQ100</f>
        <v/>
      </c>
      <c r="R100" s="35" t="n">
        <v>-102108</v>
      </c>
      <c r="S100" s="35" t="n">
        <v>-77959</v>
      </c>
      <c r="T100" s="35" t="n">
        <v>-68280</v>
      </c>
      <c r="U100" s="35" t="n">
        <v>-59932</v>
      </c>
      <c r="V100" s="35" t="n">
        <v>-51469</v>
      </c>
      <c r="W100" s="35" t="n">
        <v>-40504</v>
      </c>
      <c r="X100" s="35" t="n">
        <v>-49671</v>
      </c>
      <c r="Y100" s="35" t="n">
        <v>-69119</v>
      </c>
      <c r="Z100" s="35" t="n">
        <v>-65743</v>
      </c>
      <c r="AA100" s="35" t="n">
        <v>-80163</v>
      </c>
      <c r="AB100" s="35" t="n">
        <v>-93941</v>
      </c>
      <c r="AC100" s="35" t="n">
        <v>-93630</v>
      </c>
      <c r="AD100" s="35" t="n">
        <v>-98749</v>
      </c>
      <c r="AE100" s="35" t="n">
        <v>-100978</v>
      </c>
      <c r="AF100" s="35" t="n">
        <v>-105692</v>
      </c>
      <c r="AG100" s="35" t="n">
        <v>-113796</v>
      </c>
      <c r="AH100" s="35" t="n">
        <v>-129265</v>
      </c>
      <c r="AI100" s="35" t="n">
        <v>-151072</v>
      </c>
      <c r="AJ100" s="35" t="n">
        <v>-187717</v>
      </c>
      <c r="AK100" s="35" t="n">
        <v>-212389</v>
      </c>
      <c r="AL100" s="35" t="n">
        <v>-208587</v>
      </c>
      <c r="AM100" s="35" t="n">
        <v>-207854</v>
      </c>
      <c r="AN100" s="35" t="n">
        <v>-198596</v>
      </c>
      <c r="AO100" s="35" t="n">
        <v>-170420</v>
      </c>
      <c r="AP100" s="35" t="n">
        <v>-136834</v>
      </c>
      <c r="AQ100" s="35" t="n">
        <v>-104868</v>
      </c>
      <c r="AR100" s="35" t="n">
        <v>-76460</v>
      </c>
      <c r="AS100" s="35" t="n">
        <v>-45380</v>
      </c>
      <c r="AT100" s="35" t="n">
        <v>-35847</v>
      </c>
      <c r="AU100" s="35" t="n">
        <v>-40198</v>
      </c>
      <c r="AV100" s="35" t="n">
        <v>-80027</v>
      </c>
      <c r="AW100" s="35" t="n">
        <v>-118527</v>
      </c>
      <c r="AX100" s="35" t="n">
        <v>-190836</v>
      </c>
      <c r="AY100" s="35" t="n">
        <v>-230102</v>
      </c>
      <c r="AZ100" s="35" t="n">
        <v>-305887</v>
      </c>
      <c r="BA100" s="35" t="n">
        <v>-363725</v>
      </c>
      <c r="BB100" s="35" t="n">
        <v>-413438</v>
      </c>
      <c r="BC100" s="35" t="n">
        <v>-440024</v>
      </c>
      <c r="BD100" s="35" t="n">
        <v>-485509</v>
      </c>
      <c r="BE100" s="35" t="n">
        <v>-500406</v>
      </c>
      <c r="BF100" s="35" t="n">
        <v>-545543</v>
      </c>
      <c r="BG100" s="35" t="n">
        <v>-543783</v>
      </c>
      <c r="BH100" s="37">
        <f>BG100+BH77</f>
        <v/>
      </c>
      <c r="BI100" s="37">
        <f>BH100+BI77</f>
        <v/>
      </c>
      <c r="BJ100" s="37">
        <f>BI100+BJ77</f>
        <v/>
      </c>
      <c r="BK100" s="37">
        <f>BJ100+BK77</f>
        <v/>
      </c>
      <c r="BL100" s="37">
        <f>BK100+BL77</f>
        <v/>
      </c>
      <c r="BM100" s="37">
        <f>BL100+BM77</f>
        <v/>
      </c>
      <c r="BN100" s="37">
        <f>BM100+BN77</f>
        <v/>
      </c>
      <c r="BO100" s="37">
        <f>BN100+BO77</f>
        <v/>
      </c>
      <c r="BP100" s="37">
        <f>BO100+BP77</f>
        <v/>
      </c>
      <c r="BQ100" s="37">
        <f>BP100+BQ77</f>
        <v/>
      </c>
      <c r="BR100" s="30" t="inlineStr">
        <is>
          <t>留存收益。预测=上期+净利润（无股息）。</t>
        </is>
      </c>
    </row>
    <row r="101">
      <c r="A101" s="4" t="inlineStr">
        <is>
          <t>BS</t>
        </is>
      </c>
      <c r="B101" s="5" t="inlineStr">
        <is>
          <t>TOTAL STOCKHOLDERS' EQUITY</t>
        </is>
      </c>
      <c r="C101" s="4" t="inlineStr">
        <is>
          <t>$000</t>
        </is>
      </c>
      <c r="D101" s="42">
        <f>D99+D100</f>
        <v/>
      </c>
      <c r="E101" s="42">
        <f>E99+E100</f>
        <v/>
      </c>
      <c r="F101" s="42">
        <f>F99+F100</f>
        <v/>
      </c>
      <c r="G101" s="42">
        <f>G99+G100</f>
        <v/>
      </c>
      <c r="H101" s="42">
        <f>H99+H100</f>
        <v/>
      </c>
      <c r="I101" s="42">
        <f>I99+I100</f>
        <v/>
      </c>
      <c r="J101" s="42">
        <f>J99+J100</f>
        <v/>
      </c>
      <c r="K101" s="42">
        <f>K99+K100</f>
        <v/>
      </c>
      <c r="L101" s="42">
        <f>L99+L100</f>
        <v/>
      </c>
      <c r="M101" s="42">
        <f>M99+M100</f>
        <v/>
      </c>
      <c r="N101" s="52">
        <f>BI101</f>
        <v/>
      </c>
      <c r="O101" s="53">
        <f>BM101</f>
        <v/>
      </c>
      <c r="P101" s="53">
        <f>BQ101</f>
        <v/>
      </c>
      <c r="R101" s="42">
        <f>R99+R100</f>
        <v/>
      </c>
      <c r="S101" s="42">
        <f>S99+S100</f>
        <v/>
      </c>
      <c r="T101" s="42">
        <f>T99+T100</f>
        <v/>
      </c>
      <c r="U101" s="42">
        <f>U99+U100</f>
        <v/>
      </c>
      <c r="V101" s="42">
        <f>V99+V100</f>
        <v/>
      </c>
      <c r="W101" s="42">
        <f>W99+W100</f>
        <v/>
      </c>
      <c r="X101" s="42">
        <f>X99+X100</f>
        <v/>
      </c>
      <c r="Y101" s="42">
        <f>Y99+Y100</f>
        <v/>
      </c>
      <c r="Z101" s="42">
        <f>Z99+Z100</f>
        <v/>
      </c>
      <c r="AA101" s="42">
        <f>AA99+AA100</f>
        <v/>
      </c>
      <c r="AB101" s="42">
        <f>AB99+AB100</f>
        <v/>
      </c>
      <c r="AC101" s="42">
        <f>AC99+AC100</f>
        <v/>
      </c>
      <c r="AD101" s="42">
        <f>AD99+AD100</f>
        <v/>
      </c>
      <c r="AE101" s="42">
        <f>AE99+AE100</f>
        <v/>
      </c>
      <c r="AF101" s="42">
        <f>AF99+AF100</f>
        <v/>
      </c>
      <c r="AG101" s="42">
        <f>AG99+AG100</f>
        <v/>
      </c>
      <c r="AH101" s="42">
        <f>AH99+AH100</f>
        <v/>
      </c>
      <c r="AI101" s="42">
        <f>AI99+AI100</f>
        <v/>
      </c>
      <c r="AJ101" s="42">
        <f>AJ99+AJ100</f>
        <v/>
      </c>
      <c r="AK101" s="42">
        <f>AK99+AK100</f>
        <v/>
      </c>
      <c r="AL101" s="42">
        <f>AL99+AL100</f>
        <v/>
      </c>
      <c r="AM101" s="42">
        <f>AM99+AM100</f>
        <v/>
      </c>
      <c r="AN101" s="42">
        <f>AN99+AN100</f>
        <v/>
      </c>
      <c r="AO101" s="42">
        <f>AO99+AO100</f>
        <v/>
      </c>
      <c r="AP101" s="42">
        <f>AP99+AP100</f>
        <v/>
      </c>
      <c r="AQ101" s="42">
        <f>AQ99+AQ100</f>
        <v/>
      </c>
      <c r="AR101" s="42">
        <f>AR99+AR100</f>
        <v/>
      </c>
      <c r="AS101" s="42">
        <f>AS99+AS100</f>
        <v/>
      </c>
      <c r="AT101" s="42">
        <f>AT99+AT100</f>
        <v/>
      </c>
      <c r="AU101" s="42">
        <f>AU99+AU100</f>
        <v/>
      </c>
      <c r="AV101" s="42">
        <f>AV99+AV100</f>
        <v/>
      </c>
      <c r="AW101" s="42">
        <f>AW99+AW100</f>
        <v/>
      </c>
      <c r="AX101" s="42">
        <f>AX99+AX100</f>
        <v/>
      </c>
      <c r="AY101" s="42">
        <f>AY99+AY100</f>
        <v/>
      </c>
      <c r="AZ101" s="42">
        <f>AZ99+AZ100</f>
        <v/>
      </c>
      <c r="BA101" s="42">
        <f>BA99+BA100</f>
        <v/>
      </c>
      <c r="BB101" s="42">
        <f>BB99+BB100</f>
        <v/>
      </c>
      <c r="BC101" s="42">
        <f>BC99+BC100</f>
        <v/>
      </c>
      <c r="BD101" s="42">
        <f>BD99+BD100</f>
        <v/>
      </c>
      <c r="BE101" s="42">
        <f>BE99+BE100</f>
        <v/>
      </c>
      <c r="BF101" s="42">
        <f>BF99+BF100</f>
        <v/>
      </c>
      <c r="BG101" s="42">
        <f>BG99+BG100</f>
        <v/>
      </c>
      <c r="BH101" s="42">
        <f>BH99+BH100</f>
        <v/>
      </c>
      <c r="BI101" s="42">
        <f>BI99+BI100</f>
        <v/>
      </c>
      <c r="BJ101" s="42">
        <f>BJ99+BJ100</f>
        <v/>
      </c>
      <c r="BK101" s="42">
        <f>BK99+BK100</f>
        <v/>
      </c>
      <c r="BL101" s="42">
        <f>BL99+BL100</f>
        <v/>
      </c>
      <c r="BM101" s="42">
        <f>BM99+BM100</f>
        <v/>
      </c>
      <c r="BN101" s="42">
        <f>BN99+BN100</f>
        <v/>
      </c>
      <c r="BO101" s="42">
        <f>BO99+BO100</f>
        <v/>
      </c>
      <c r="BP101" s="42">
        <f>BP99+BP100</f>
        <v/>
      </c>
      <c r="BQ101" s="42">
        <f>BQ99+BQ100</f>
        <v/>
      </c>
      <c r="BR101" s="30" t="inlineStr">
        <is>
          <t>股东权益。</t>
        </is>
      </c>
    </row>
    <row r="102">
      <c r="A102" s="4" t="inlineStr">
        <is>
          <t>BS</t>
        </is>
      </c>
      <c r="B102" s="5" t="inlineStr">
        <is>
          <t>TOTAL LIABILITIES + EQUITY</t>
        </is>
      </c>
      <c r="C102" s="4" t="inlineStr">
        <is>
          <t>$000</t>
        </is>
      </c>
      <c r="D102" s="42">
        <f>D98+D101</f>
        <v/>
      </c>
      <c r="E102" s="42">
        <f>E98+E101</f>
        <v/>
      </c>
      <c r="F102" s="42">
        <f>F98+F101</f>
        <v/>
      </c>
      <c r="G102" s="42">
        <f>G98+G101</f>
        <v/>
      </c>
      <c r="H102" s="42">
        <f>H98+H101</f>
        <v/>
      </c>
      <c r="I102" s="42">
        <f>I98+I101</f>
        <v/>
      </c>
      <c r="J102" s="42">
        <f>J98+J101</f>
        <v/>
      </c>
      <c r="K102" s="42">
        <f>K98+K101</f>
        <v/>
      </c>
      <c r="L102" s="42">
        <f>L98+L101</f>
        <v/>
      </c>
      <c r="M102" s="42">
        <f>M98+M101</f>
        <v/>
      </c>
      <c r="N102" s="42">
        <f>BI102</f>
        <v/>
      </c>
      <c r="O102" s="42">
        <f>BM102</f>
        <v/>
      </c>
      <c r="P102" s="42">
        <f>BQ102</f>
        <v/>
      </c>
      <c r="R102" s="42">
        <f>R98+R101</f>
        <v/>
      </c>
      <c r="S102" s="42">
        <f>S98+S101</f>
        <v/>
      </c>
      <c r="T102" s="42">
        <f>T98+T101</f>
        <v/>
      </c>
      <c r="U102" s="42">
        <f>U98+U101</f>
        <v/>
      </c>
      <c r="V102" s="42">
        <f>V98+V101</f>
        <v/>
      </c>
      <c r="W102" s="42">
        <f>W98+W101</f>
        <v/>
      </c>
      <c r="X102" s="42">
        <f>X98+X101</f>
        <v/>
      </c>
      <c r="Y102" s="42">
        <f>Y98+Y101</f>
        <v/>
      </c>
      <c r="Z102" s="42">
        <f>Z98+Z101</f>
        <v/>
      </c>
      <c r="AA102" s="42">
        <f>AA98+AA101</f>
        <v/>
      </c>
      <c r="AB102" s="42">
        <f>AB98+AB101</f>
        <v/>
      </c>
      <c r="AC102" s="42">
        <f>AC98+AC101</f>
        <v/>
      </c>
      <c r="AD102" s="42">
        <f>AD98+AD101</f>
        <v/>
      </c>
      <c r="AE102" s="42">
        <f>AE98+AE101</f>
        <v/>
      </c>
      <c r="AF102" s="42">
        <f>AF98+AF101</f>
        <v/>
      </c>
      <c r="AG102" s="42">
        <f>AG98+AG101</f>
        <v/>
      </c>
      <c r="AH102" s="42">
        <f>AH98+AH101</f>
        <v/>
      </c>
      <c r="AI102" s="42">
        <f>AI98+AI101</f>
        <v/>
      </c>
      <c r="AJ102" s="42">
        <f>AJ98+AJ101</f>
        <v/>
      </c>
      <c r="AK102" s="42">
        <f>AK98+AK101</f>
        <v/>
      </c>
      <c r="AL102" s="42">
        <f>AL98+AL101</f>
        <v/>
      </c>
      <c r="AM102" s="42">
        <f>AM98+AM101</f>
        <v/>
      </c>
      <c r="AN102" s="42">
        <f>AN98+AN101</f>
        <v/>
      </c>
      <c r="AO102" s="42">
        <f>AO98+AO101</f>
        <v/>
      </c>
      <c r="AP102" s="42">
        <f>AP98+AP101</f>
        <v/>
      </c>
      <c r="AQ102" s="42">
        <f>AQ98+AQ101</f>
        <v/>
      </c>
      <c r="AR102" s="42">
        <f>AR98+AR101</f>
        <v/>
      </c>
      <c r="AS102" s="42">
        <f>AS98+AS101</f>
        <v/>
      </c>
      <c r="AT102" s="42">
        <f>AT98+AT101</f>
        <v/>
      </c>
      <c r="AU102" s="42">
        <f>AU98+AU101</f>
        <v/>
      </c>
      <c r="AV102" s="42">
        <f>AV98+AV101</f>
        <v/>
      </c>
      <c r="AW102" s="42">
        <f>AW98+AW101</f>
        <v/>
      </c>
      <c r="AX102" s="42">
        <f>AX98+AX101</f>
        <v/>
      </c>
      <c r="AY102" s="42">
        <f>AY98+AY101</f>
        <v/>
      </c>
      <c r="AZ102" s="42">
        <f>AZ98+AZ101</f>
        <v/>
      </c>
      <c r="BA102" s="42">
        <f>BA98+BA101</f>
        <v/>
      </c>
      <c r="BB102" s="42">
        <f>BB98+BB101</f>
        <v/>
      </c>
      <c r="BC102" s="42">
        <f>BC98+BC101</f>
        <v/>
      </c>
      <c r="BD102" s="42">
        <f>BD98+BD101</f>
        <v/>
      </c>
      <c r="BE102" s="42">
        <f>BE98+BE101</f>
        <v/>
      </c>
      <c r="BF102" s="42">
        <f>BF98+BF101</f>
        <v/>
      </c>
      <c r="BG102" s="42">
        <f>BG98+BG101</f>
        <v/>
      </c>
      <c r="BH102" s="42">
        <f>BH98+BH101</f>
        <v/>
      </c>
      <c r="BI102" s="42">
        <f>BI98+BI101</f>
        <v/>
      </c>
      <c r="BJ102" s="42">
        <f>BJ98+BJ101</f>
        <v/>
      </c>
      <c r="BK102" s="42">
        <f>BK98+BK101</f>
        <v/>
      </c>
      <c r="BL102" s="42">
        <f>BL98+BL101</f>
        <v/>
      </c>
      <c r="BM102" s="42">
        <f>BM98+BM101</f>
        <v/>
      </c>
      <c r="BN102" s="42">
        <f>BN98+BN101</f>
        <v/>
      </c>
      <c r="BO102" s="42">
        <f>BO98+BO101</f>
        <v/>
      </c>
      <c r="BP102" s="42">
        <f>BP98+BP101</f>
        <v/>
      </c>
      <c r="BQ102" s="42">
        <f>BQ98+BQ101</f>
        <v/>
      </c>
      <c r="BR102" s="30" t="inlineStr">
        <is>
          <t>负债+权益，必须=总资产。</t>
        </is>
      </c>
    </row>
    <row r="104">
      <c r="A104" s="54" t="inlineStr">
        <is>
          <t>V.  CASH FLOW STATEMENT  （现金流量表）</t>
        </is>
      </c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</row>
    <row r="105">
      <c r="A105" s="4" t="inlineStr">
        <is>
          <t>CF</t>
        </is>
      </c>
      <c r="B105" s="7" t="inlineStr">
        <is>
          <t>Net income</t>
        </is>
      </c>
      <c r="C105" s="4" t="inlineStr">
        <is>
          <t>$000</t>
        </is>
      </c>
      <c r="D105" s="38">
        <f>D77</f>
        <v/>
      </c>
      <c r="E105" s="38">
        <f>E77</f>
        <v/>
      </c>
      <c r="F105" s="38">
        <f>F77</f>
        <v/>
      </c>
      <c r="G105" s="38">
        <f>G77</f>
        <v/>
      </c>
      <c r="H105" s="38">
        <f>H77</f>
        <v/>
      </c>
      <c r="I105" s="38">
        <f>I77</f>
        <v/>
      </c>
      <c r="J105" s="38">
        <f>J77</f>
        <v/>
      </c>
      <c r="K105" s="38">
        <f>K77</f>
        <v/>
      </c>
      <c r="L105" s="38">
        <f>L77</f>
        <v/>
      </c>
      <c r="M105" s="38">
        <f>M77</f>
        <v/>
      </c>
      <c r="N105" s="36">
        <f>BF105+BG105+BH105+BI105</f>
        <v/>
      </c>
      <c r="O105" s="37">
        <f>BJ105+BK105+BL105+BM105</f>
        <v/>
      </c>
      <c r="P105" s="37">
        <f>BN105+BO105+BP105+BQ105</f>
        <v/>
      </c>
      <c r="R105" s="38">
        <f>R77</f>
        <v/>
      </c>
      <c r="S105" s="38">
        <f>S77</f>
        <v/>
      </c>
      <c r="T105" s="38">
        <f>T77</f>
        <v/>
      </c>
      <c r="U105" s="38">
        <f>U77</f>
        <v/>
      </c>
      <c r="V105" s="38">
        <f>V77</f>
        <v/>
      </c>
      <c r="W105" s="38">
        <f>W77</f>
        <v/>
      </c>
      <c r="X105" s="38">
        <f>X77</f>
        <v/>
      </c>
      <c r="Y105" s="38">
        <f>Y77</f>
        <v/>
      </c>
      <c r="Z105" s="38">
        <f>Z77</f>
        <v/>
      </c>
      <c r="AA105" s="38">
        <f>AA77</f>
        <v/>
      </c>
      <c r="AB105" s="38">
        <f>AB77</f>
        <v/>
      </c>
      <c r="AC105" s="38">
        <f>AC77</f>
        <v/>
      </c>
      <c r="AD105" s="38">
        <f>AD77</f>
        <v/>
      </c>
      <c r="AE105" s="38">
        <f>AE77</f>
        <v/>
      </c>
      <c r="AF105" s="38">
        <f>AF77</f>
        <v/>
      </c>
      <c r="AG105" s="38">
        <f>AG77</f>
        <v/>
      </c>
      <c r="AH105" s="38">
        <f>AH77</f>
        <v/>
      </c>
      <c r="AI105" s="38">
        <f>AI77</f>
        <v/>
      </c>
      <c r="AJ105" s="38">
        <f>AJ77</f>
        <v/>
      </c>
      <c r="AK105" s="38">
        <f>AK77</f>
        <v/>
      </c>
      <c r="AL105" s="38">
        <f>AL77</f>
        <v/>
      </c>
      <c r="AM105" s="38">
        <f>AM77</f>
        <v/>
      </c>
      <c r="AN105" s="38">
        <f>AN77</f>
        <v/>
      </c>
      <c r="AO105" s="38">
        <f>AO77</f>
        <v/>
      </c>
      <c r="AP105" s="38">
        <f>AP77</f>
        <v/>
      </c>
      <c r="AQ105" s="38">
        <f>AQ77</f>
        <v/>
      </c>
      <c r="AR105" s="38">
        <f>AR77</f>
        <v/>
      </c>
      <c r="AS105" s="38">
        <f>AS77</f>
        <v/>
      </c>
      <c r="AT105" s="38">
        <f>AT77</f>
        <v/>
      </c>
      <c r="AU105" s="38">
        <f>AU77</f>
        <v/>
      </c>
      <c r="AV105" s="38">
        <f>AV77</f>
        <v/>
      </c>
      <c r="AW105" s="38">
        <f>AW77</f>
        <v/>
      </c>
      <c r="AX105" s="38">
        <f>AX77</f>
        <v/>
      </c>
      <c r="AY105" s="38">
        <f>AY77</f>
        <v/>
      </c>
      <c r="AZ105" s="38">
        <f>AZ77</f>
        <v/>
      </c>
      <c r="BA105" s="38">
        <f>BA77</f>
        <v/>
      </c>
      <c r="BB105" s="38">
        <f>BB77</f>
        <v/>
      </c>
      <c r="BC105" s="38">
        <f>BC77</f>
        <v/>
      </c>
      <c r="BD105" s="38">
        <f>BD77</f>
        <v/>
      </c>
      <c r="BE105" s="38">
        <f>BE77</f>
        <v/>
      </c>
      <c r="BF105" s="38">
        <f>BF77</f>
        <v/>
      </c>
      <c r="BG105" s="38">
        <f>BG77</f>
        <v/>
      </c>
      <c r="BH105" s="37">
        <f>BH77</f>
        <v/>
      </c>
      <c r="BI105" s="37">
        <f>BI77</f>
        <v/>
      </c>
      <c r="BJ105" s="37">
        <f>BJ77</f>
        <v/>
      </c>
      <c r="BK105" s="37">
        <f>BK77</f>
        <v/>
      </c>
      <c r="BL105" s="37">
        <f>BL77</f>
        <v/>
      </c>
      <c r="BM105" s="37">
        <f>BM77</f>
        <v/>
      </c>
      <c r="BN105" s="37">
        <f>BN77</f>
        <v/>
      </c>
      <c r="BO105" s="37">
        <f>BO77</f>
        <v/>
      </c>
      <c r="BP105" s="37">
        <f>BP77</f>
        <v/>
      </c>
      <c r="BQ105" s="37">
        <f>BQ77</f>
        <v/>
      </c>
      <c r="BR105" s="30" t="inlineStr">
        <is>
          <t>取自P&amp;L净利润。</t>
        </is>
      </c>
    </row>
    <row r="106">
      <c r="A106" s="4" t="inlineStr">
        <is>
          <t>CF</t>
        </is>
      </c>
      <c r="B106" s="7" t="inlineStr">
        <is>
          <t>Depreciation &amp; amortization</t>
        </is>
      </c>
      <c r="C106" s="4" t="inlineStr">
        <is>
          <t>$000</t>
        </is>
      </c>
      <c r="D106" s="38">
        <f>D55+D56</f>
        <v/>
      </c>
      <c r="E106" s="38">
        <f>E55+E56</f>
        <v/>
      </c>
      <c r="F106" s="38">
        <f>F55+F56</f>
        <v/>
      </c>
      <c r="G106" s="38">
        <f>G55+G56</f>
        <v/>
      </c>
      <c r="H106" s="38">
        <f>H55+H56</f>
        <v/>
      </c>
      <c r="I106" s="38">
        <f>I55+I56</f>
        <v/>
      </c>
      <c r="J106" s="38">
        <f>J55+J56</f>
        <v/>
      </c>
      <c r="K106" s="38">
        <f>K55+K56</f>
        <v/>
      </c>
      <c r="L106" s="38">
        <f>L55+L56</f>
        <v/>
      </c>
      <c r="M106" s="38">
        <f>M55+M56</f>
        <v/>
      </c>
      <c r="N106" s="36">
        <f>BF106+BG106+BH106+BI106</f>
        <v/>
      </c>
      <c r="O106" s="37">
        <f>BJ106+BK106+BL106+BM106</f>
        <v/>
      </c>
      <c r="P106" s="37">
        <f>BN106+BO106+BP106+BQ106</f>
        <v/>
      </c>
      <c r="R106" s="38">
        <f>R55+R56</f>
        <v/>
      </c>
      <c r="S106" s="38">
        <f>S55+S56</f>
        <v/>
      </c>
      <c r="T106" s="38">
        <f>T55+T56</f>
        <v/>
      </c>
      <c r="U106" s="38">
        <f>U55+U56</f>
        <v/>
      </c>
      <c r="V106" s="38">
        <f>V55+V56</f>
        <v/>
      </c>
      <c r="W106" s="38">
        <f>W55+W56</f>
        <v/>
      </c>
      <c r="X106" s="38">
        <f>X55+X56</f>
        <v/>
      </c>
      <c r="Y106" s="38">
        <f>Y55+Y56</f>
        <v/>
      </c>
      <c r="Z106" s="38">
        <f>Z55+Z56</f>
        <v/>
      </c>
      <c r="AA106" s="38">
        <f>AA55+AA56</f>
        <v/>
      </c>
      <c r="AB106" s="38">
        <f>AB55+AB56</f>
        <v/>
      </c>
      <c r="AC106" s="38">
        <f>AC55+AC56</f>
        <v/>
      </c>
      <c r="AD106" s="38">
        <f>AD55+AD56</f>
        <v/>
      </c>
      <c r="AE106" s="38">
        <f>AE55+AE56</f>
        <v/>
      </c>
      <c r="AF106" s="38">
        <f>AF55+AF56</f>
        <v/>
      </c>
      <c r="AG106" s="38">
        <f>AG55+AG56</f>
        <v/>
      </c>
      <c r="AH106" s="38">
        <f>AH55+AH56</f>
        <v/>
      </c>
      <c r="AI106" s="38">
        <f>AI55+AI56</f>
        <v/>
      </c>
      <c r="AJ106" s="38">
        <f>AJ55+AJ56</f>
        <v/>
      </c>
      <c r="AK106" s="38">
        <f>AK55+AK56</f>
        <v/>
      </c>
      <c r="AL106" s="38">
        <f>AL55+AL56</f>
        <v/>
      </c>
      <c r="AM106" s="38">
        <f>AM55+AM56</f>
        <v/>
      </c>
      <c r="AN106" s="38">
        <f>AN55+AN56</f>
        <v/>
      </c>
      <c r="AO106" s="38">
        <f>AO55+AO56</f>
        <v/>
      </c>
      <c r="AP106" s="38">
        <f>AP55+AP56</f>
        <v/>
      </c>
      <c r="AQ106" s="38">
        <f>AQ55+AQ56</f>
        <v/>
      </c>
      <c r="AR106" s="38">
        <f>AR55+AR56</f>
        <v/>
      </c>
      <c r="AS106" s="38">
        <f>AS55+AS56</f>
        <v/>
      </c>
      <c r="AT106" s="38">
        <f>AT55+AT56</f>
        <v/>
      </c>
      <c r="AU106" s="38">
        <f>AU55+AU56</f>
        <v/>
      </c>
      <c r="AV106" s="38">
        <f>AV55+AV56</f>
        <v/>
      </c>
      <c r="AW106" s="38">
        <f>AW55+AW56</f>
        <v/>
      </c>
      <c r="AX106" s="38">
        <f>AX55+AX56</f>
        <v/>
      </c>
      <c r="AY106" s="38">
        <f>AY55+AY56</f>
        <v/>
      </c>
      <c r="AZ106" s="38">
        <f>AZ55+AZ56</f>
        <v/>
      </c>
      <c r="BA106" s="38">
        <f>BA55+BA56</f>
        <v/>
      </c>
      <c r="BB106" s="38">
        <f>BB55+BB56</f>
        <v/>
      </c>
      <c r="BC106" s="38">
        <f>BC55+BC56</f>
        <v/>
      </c>
      <c r="BD106" s="38">
        <f>BD55+BD56</f>
        <v/>
      </c>
      <c r="BE106" s="38">
        <f>BE55+BE56</f>
        <v/>
      </c>
      <c r="BF106" s="38">
        <f>BF55+BF56</f>
        <v/>
      </c>
      <c r="BG106" s="38">
        <f>BG55+BG56</f>
        <v/>
      </c>
      <c r="BH106" s="37">
        <f>BH55+(BG89-BH89)</f>
        <v/>
      </c>
      <c r="BI106" s="37">
        <f>BI55+(BH89-BI89)</f>
        <v/>
      </c>
      <c r="BJ106" s="37">
        <f>BJ55+(BI89-BJ89)</f>
        <v/>
      </c>
      <c r="BK106" s="37">
        <f>BK55+(BJ89-BK89)</f>
        <v/>
      </c>
      <c r="BL106" s="37">
        <f>BL55+(BK89-BL89)</f>
        <v/>
      </c>
      <c r="BM106" s="37">
        <f>BM55+(BL89-BM89)</f>
        <v/>
      </c>
      <c r="BN106" s="37">
        <f>BN55+(BM89-BN89)</f>
        <v/>
      </c>
      <c r="BO106" s="37">
        <f>BO55+(BN89-BO89)</f>
        <v/>
      </c>
      <c r="BP106" s="37">
        <f>BP55+(BO89-BP89)</f>
        <v/>
      </c>
      <c r="BQ106" s="37">
        <f>BQ55+(BP89-BQ89)</f>
        <v/>
      </c>
      <c r="BR106" s="30" t="inlineStr">
        <is>
          <t>加回D&amp;A（PPE+IA）。</t>
        </is>
      </c>
    </row>
    <row r="107">
      <c r="A107" s="4" t="inlineStr">
        <is>
          <t>CF</t>
        </is>
      </c>
      <c r="B107" s="7" t="inlineStr">
        <is>
          <t>Stock-based compensation</t>
        </is>
      </c>
      <c r="C107" s="4" t="inlineStr">
        <is>
          <t>$000</t>
        </is>
      </c>
      <c r="D107" s="38">
        <f>D57</f>
        <v/>
      </c>
      <c r="E107" s="38">
        <f>E57</f>
        <v/>
      </c>
      <c r="F107" s="38">
        <f>F57</f>
        <v/>
      </c>
      <c r="G107" s="38">
        <f>G57</f>
        <v/>
      </c>
      <c r="H107" s="38">
        <f>H57</f>
        <v/>
      </c>
      <c r="I107" s="38">
        <f>I57</f>
        <v/>
      </c>
      <c r="J107" s="38">
        <f>J57</f>
        <v/>
      </c>
      <c r="K107" s="38">
        <f>K57</f>
        <v/>
      </c>
      <c r="L107" s="38">
        <f>L57</f>
        <v/>
      </c>
      <c r="M107" s="38">
        <f>M57</f>
        <v/>
      </c>
      <c r="N107" s="36">
        <f>BF107+BG107+BH107+BI107</f>
        <v/>
      </c>
      <c r="O107" s="37">
        <f>BJ107+BK107+BL107+BM107</f>
        <v/>
      </c>
      <c r="P107" s="37">
        <f>BN107+BO107+BP107+BQ107</f>
        <v/>
      </c>
      <c r="R107" s="38">
        <f>R57</f>
        <v/>
      </c>
      <c r="S107" s="38">
        <f>S57</f>
        <v/>
      </c>
      <c r="T107" s="38">
        <f>T57</f>
        <v/>
      </c>
      <c r="U107" s="38">
        <f>U57</f>
        <v/>
      </c>
      <c r="V107" s="38">
        <f>V57</f>
        <v/>
      </c>
      <c r="W107" s="38">
        <f>W57</f>
        <v/>
      </c>
      <c r="X107" s="38">
        <f>X57</f>
        <v/>
      </c>
      <c r="Y107" s="38">
        <f>Y57</f>
        <v/>
      </c>
      <c r="Z107" s="38">
        <f>Z57</f>
        <v/>
      </c>
      <c r="AA107" s="38">
        <f>AA57</f>
        <v/>
      </c>
      <c r="AB107" s="38">
        <f>AB57</f>
        <v/>
      </c>
      <c r="AC107" s="38">
        <f>AC57</f>
        <v/>
      </c>
      <c r="AD107" s="38">
        <f>AD57</f>
        <v/>
      </c>
      <c r="AE107" s="38">
        <f>AE57</f>
        <v/>
      </c>
      <c r="AF107" s="38">
        <f>AF57</f>
        <v/>
      </c>
      <c r="AG107" s="38">
        <f>AG57</f>
        <v/>
      </c>
      <c r="AH107" s="38">
        <f>AH57</f>
        <v/>
      </c>
      <c r="AI107" s="38">
        <f>AI57</f>
        <v/>
      </c>
      <c r="AJ107" s="38">
        <f>AJ57</f>
        <v/>
      </c>
      <c r="AK107" s="38">
        <f>AK57</f>
        <v/>
      </c>
      <c r="AL107" s="38">
        <f>AL57</f>
        <v/>
      </c>
      <c r="AM107" s="38">
        <f>AM57</f>
        <v/>
      </c>
      <c r="AN107" s="38">
        <f>AN57</f>
        <v/>
      </c>
      <c r="AO107" s="38">
        <f>AO57</f>
        <v/>
      </c>
      <c r="AP107" s="38">
        <f>AP57</f>
        <v/>
      </c>
      <c r="AQ107" s="38">
        <f>AQ57</f>
        <v/>
      </c>
      <c r="AR107" s="38">
        <f>AR57</f>
        <v/>
      </c>
      <c r="AS107" s="38">
        <f>AS57</f>
        <v/>
      </c>
      <c r="AT107" s="38">
        <f>AT57</f>
        <v/>
      </c>
      <c r="AU107" s="38">
        <f>AU57</f>
        <v/>
      </c>
      <c r="AV107" s="38">
        <f>AV57</f>
        <v/>
      </c>
      <c r="AW107" s="38">
        <f>AW57</f>
        <v/>
      </c>
      <c r="AX107" s="38">
        <f>AX57</f>
        <v/>
      </c>
      <c r="AY107" s="38">
        <f>AY57</f>
        <v/>
      </c>
      <c r="AZ107" s="38">
        <f>AZ57</f>
        <v/>
      </c>
      <c r="BA107" s="38">
        <f>BA57</f>
        <v/>
      </c>
      <c r="BB107" s="38">
        <f>BB57</f>
        <v/>
      </c>
      <c r="BC107" s="38">
        <f>BC57</f>
        <v/>
      </c>
      <c r="BD107" s="38">
        <f>BD57</f>
        <v/>
      </c>
      <c r="BE107" s="38">
        <f>BE57</f>
        <v/>
      </c>
      <c r="BF107" s="38">
        <f>BF57</f>
        <v/>
      </c>
      <c r="BG107" s="38">
        <f>BG57</f>
        <v/>
      </c>
      <c r="BH107" s="37">
        <f>BH57</f>
        <v/>
      </c>
      <c r="BI107" s="37">
        <f>BI57</f>
        <v/>
      </c>
      <c r="BJ107" s="37">
        <f>BJ57</f>
        <v/>
      </c>
      <c r="BK107" s="37">
        <f>BK57</f>
        <v/>
      </c>
      <c r="BL107" s="37">
        <f>BL57</f>
        <v/>
      </c>
      <c r="BM107" s="37">
        <f>BM57</f>
        <v/>
      </c>
      <c r="BN107" s="37">
        <f>BN57</f>
        <v/>
      </c>
      <c r="BO107" s="37">
        <f>BO57</f>
        <v/>
      </c>
      <c r="BP107" s="37">
        <f>BP57</f>
        <v/>
      </c>
      <c r="BQ107" s="37">
        <f>BQ57</f>
        <v/>
      </c>
      <c r="BR107" s="30" t="inlineStr">
        <is>
          <t>加回SBC。</t>
        </is>
      </c>
    </row>
    <row r="108">
      <c r="A108" s="4" t="inlineStr">
        <is>
          <t>CF</t>
        </is>
      </c>
      <c r="B108" s="7" t="inlineStr">
        <is>
          <t>Change in accounts receivable</t>
        </is>
      </c>
      <c r="C108" s="4" t="inlineStr">
        <is>
          <t>$000</t>
        </is>
      </c>
      <c r="D108" s="35" t="n">
        <v>0</v>
      </c>
      <c r="E108" s="38">
        <f>-(E83-D83)</f>
        <v/>
      </c>
      <c r="F108" s="38">
        <f>-(F83-E83)</f>
        <v/>
      </c>
      <c r="G108" s="38">
        <f>-(G83-F83)</f>
        <v/>
      </c>
      <c r="H108" s="38">
        <f>-(H83-G83)</f>
        <v/>
      </c>
      <c r="I108" s="38">
        <f>-(I83-H83)</f>
        <v/>
      </c>
      <c r="J108" s="38">
        <f>-(J83-I83)</f>
        <v/>
      </c>
      <c r="K108" s="38">
        <f>-(K83-J83)</f>
        <v/>
      </c>
      <c r="L108" s="38">
        <f>-(L83-K83)</f>
        <v/>
      </c>
      <c r="M108" s="38">
        <f>-(M83-L83)</f>
        <v/>
      </c>
      <c r="N108" s="36">
        <f>BF108+BG108+BH108+BI108</f>
        <v/>
      </c>
      <c r="O108" s="37">
        <f>BJ108+BK108+BL108+BM108</f>
        <v/>
      </c>
      <c r="P108" s="37">
        <f>BN108+BO108+BP108+BQ108</f>
        <v/>
      </c>
      <c r="R108" s="35" t="n">
        <v>0</v>
      </c>
      <c r="S108" s="38">
        <f>-(S83-R83)</f>
        <v/>
      </c>
      <c r="T108" s="38">
        <f>-(T83-S83)</f>
        <v/>
      </c>
      <c r="U108" s="38">
        <f>-(U83-T83)</f>
        <v/>
      </c>
      <c r="V108" s="38">
        <f>-(V83-U83)</f>
        <v/>
      </c>
      <c r="W108" s="38">
        <f>-(W83-V83)</f>
        <v/>
      </c>
      <c r="X108" s="38">
        <f>-(X83-W83)</f>
        <v/>
      </c>
      <c r="Y108" s="38">
        <f>-(Y83-X83)</f>
        <v/>
      </c>
      <c r="Z108" s="38">
        <f>-(Z83-Y83)</f>
        <v/>
      </c>
      <c r="AA108" s="38">
        <f>-(AA83-Z83)</f>
        <v/>
      </c>
      <c r="AB108" s="38">
        <f>-(AB83-AA83)</f>
        <v/>
      </c>
      <c r="AC108" s="38">
        <f>-(AC83-AB83)</f>
        <v/>
      </c>
      <c r="AD108" s="38">
        <f>-(AD83-AC83)</f>
        <v/>
      </c>
      <c r="AE108" s="38">
        <f>-(AE83-AD83)</f>
        <v/>
      </c>
      <c r="AF108" s="38">
        <f>-(AF83-AE83)</f>
        <v/>
      </c>
      <c r="AG108" s="38">
        <f>-(AG83-AF83)</f>
        <v/>
      </c>
      <c r="AH108" s="38">
        <f>-(AH83-AG83)</f>
        <v/>
      </c>
      <c r="AI108" s="38">
        <f>-(AI83-AH83)</f>
        <v/>
      </c>
      <c r="AJ108" s="38">
        <f>-(AJ83-AI83)</f>
        <v/>
      </c>
      <c r="AK108" s="38">
        <f>-(AK83-AJ83)</f>
        <v/>
      </c>
      <c r="AL108" s="38">
        <f>-(AL83-AK83)</f>
        <v/>
      </c>
      <c r="AM108" s="38">
        <f>-(AM83-AL83)</f>
        <v/>
      </c>
      <c r="AN108" s="38">
        <f>-(AN83-AM83)</f>
        <v/>
      </c>
      <c r="AO108" s="38">
        <f>-(AO83-AN83)</f>
        <v/>
      </c>
      <c r="AP108" s="38">
        <f>-(AP83-AO83)</f>
        <v/>
      </c>
      <c r="AQ108" s="38">
        <f>-(AQ83-AP83)</f>
        <v/>
      </c>
      <c r="AR108" s="38">
        <f>-(AR83-AQ83)</f>
        <v/>
      </c>
      <c r="AS108" s="38">
        <f>-(AS83-AR83)</f>
        <v/>
      </c>
      <c r="AT108" s="38">
        <f>-(AT83-AS83)</f>
        <v/>
      </c>
      <c r="AU108" s="38">
        <f>-(AU83-AT83)</f>
        <v/>
      </c>
      <c r="AV108" s="38">
        <f>-(AV83-AU83)</f>
        <v/>
      </c>
      <c r="AW108" s="38">
        <f>-(AW83-AV83)</f>
        <v/>
      </c>
      <c r="AX108" s="38">
        <f>-(AX83-AW83)</f>
        <v/>
      </c>
      <c r="AY108" s="38">
        <f>-(AY83-AX83)</f>
        <v/>
      </c>
      <c r="AZ108" s="38">
        <f>-(AZ83-AY83)</f>
        <v/>
      </c>
      <c r="BA108" s="38">
        <f>-(BA83-AZ83)</f>
        <v/>
      </c>
      <c r="BB108" s="38">
        <f>-(BB83-BA83)</f>
        <v/>
      </c>
      <c r="BC108" s="38">
        <f>-(BC83-BB83)</f>
        <v/>
      </c>
      <c r="BD108" s="38">
        <f>-(BD83-BC83)</f>
        <v/>
      </c>
      <c r="BE108" s="38">
        <f>-(BE83-BD83)</f>
        <v/>
      </c>
      <c r="BF108" s="38">
        <f>-(BF83-BE83)</f>
        <v/>
      </c>
      <c r="BG108" s="38">
        <f>-(BG83-BF83)</f>
        <v/>
      </c>
      <c r="BH108" s="37">
        <f>-(BH83-BG83)</f>
        <v/>
      </c>
      <c r="BI108" s="37">
        <f>-(BI83-BH83)</f>
        <v/>
      </c>
      <c r="BJ108" s="37">
        <f>-(BJ83-BI83)</f>
        <v/>
      </c>
      <c r="BK108" s="37">
        <f>-(BK83-BJ83)</f>
        <v/>
      </c>
      <c r="BL108" s="37">
        <f>-(BL83-BK83)</f>
        <v/>
      </c>
      <c r="BM108" s="37">
        <f>-(BM83-BL83)</f>
        <v/>
      </c>
      <c r="BN108" s="37">
        <f>-(BN83-BM83)</f>
        <v/>
      </c>
      <c r="BO108" s="37">
        <f>-(BO83-BN83)</f>
        <v/>
      </c>
      <c r="BP108" s="37">
        <f>-(BP83-BO83)</f>
        <v/>
      </c>
      <c r="BQ108" s="37">
        <f>-(BQ83-BP83)</f>
        <v/>
      </c>
      <c r="BR108" s="30" t="inlineStr">
        <is>
          <t>−ΔAR。</t>
        </is>
      </c>
    </row>
    <row r="109">
      <c r="A109" s="4" t="inlineStr">
        <is>
          <t>CF</t>
        </is>
      </c>
      <c r="B109" s="7" t="inlineStr">
        <is>
          <t>Change in inventories</t>
        </is>
      </c>
      <c r="C109" s="4" t="inlineStr">
        <is>
          <t>$000</t>
        </is>
      </c>
      <c r="D109" s="35" t="n">
        <v>0</v>
      </c>
      <c r="E109" s="38">
        <f>-(E84-D84)</f>
        <v/>
      </c>
      <c r="F109" s="38">
        <f>-(F84-E84)</f>
        <v/>
      </c>
      <c r="G109" s="38">
        <f>-(G84-F84)</f>
        <v/>
      </c>
      <c r="H109" s="38">
        <f>-(H84-G84)</f>
        <v/>
      </c>
      <c r="I109" s="38">
        <f>-(I84-H84)</f>
        <v/>
      </c>
      <c r="J109" s="38">
        <f>-(J84-I84)</f>
        <v/>
      </c>
      <c r="K109" s="38">
        <f>-(K84-J84)</f>
        <v/>
      </c>
      <c r="L109" s="38">
        <f>-(L84-K84)</f>
        <v/>
      </c>
      <c r="M109" s="38">
        <f>-(M84-L84)</f>
        <v/>
      </c>
      <c r="N109" s="36">
        <f>BF109+BG109+BH109+BI109</f>
        <v/>
      </c>
      <c r="O109" s="37">
        <f>BJ109+BK109+BL109+BM109</f>
        <v/>
      </c>
      <c r="P109" s="37">
        <f>BN109+BO109+BP109+BQ109</f>
        <v/>
      </c>
      <c r="R109" s="35" t="n">
        <v>0</v>
      </c>
      <c r="S109" s="38">
        <f>-(S84-R84)</f>
        <v/>
      </c>
      <c r="T109" s="38">
        <f>-(T84-S84)</f>
        <v/>
      </c>
      <c r="U109" s="38">
        <f>-(U84-T84)</f>
        <v/>
      </c>
      <c r="V109" s="38">
        <f>-(V84-U84)</f>
        <v/>
      </c>
      <c r="W109" s="38">
        <f>-(W84-V84)</f>
        <v/>
      </c>
      <c r="X109" s="38">
        <f>-(X84-W84)</f>
        <v/>
      </c>
      <c r="Y109" s="38">
        <f>-(Y84-X84)</f>
        <v/>
      </c>
      <c r="Z109" s="38">
        <f>-(Z84-Y84)</f>
        <v/>
      </c>
      <c r="AA109" s="38">
        <f>-(AA84-Z84)</f>
        <v/>
      </c>
      <c r="AB109" s="38">
        <f>-(AB84-AA84)</f>
        <v/>
      </c>
      <c r="AC109" s="38">
        <f>-(AC84-AB84)</f>
        <v/>
      </c>
      <c r="AD109" s="38">
        <f>-(AD84-AC84)</f>
        <v/>
      </c>
      <c r="AE109" s="38">
        <f>-(AE84-AD84)</f>
        <v/>
      </c>
      <c r="AF109" s="38">
        <f>-(AF84-AE84)</f>
        <v/>
      </c>
      <c r="AG109" s="38">
        <f>-(AG84-AF84)</f>
        <v/>
      </c>
      <c r="AH109" s="38">
        <f>-(AH84-AG84)</f>
        <v/>
      </c>
      <c r="AI109" s="38">
        <f>-(AI84-AH84)</f>
        <v/>
      </c>
      <c r="AJ109" s="38">
        <f>-(AJ84-AI84)</f>
        <v/>
      </c>
      <c r="AK109" s="38">
        <f>-(AK84-AJ84)</f>
        <v/>
      </c>
      <c r="AL109" s="38">
        <f>-(AL84-AK84)</f>
        <v/>
      </c>
      <c r="AM109" s="38">
        <f>-(AM84-AL84)</f>
        <v/>
      </c>
      <c r="AN109" s="38">
        <f>-(AN84-AM84)</f>
        <v/>
      </c>
      <c r="AO109" s="38">
        <f>-(AO84-AN84)</f>
        <v/>
      </c>
      <c r="AP109" s="38">
        <f>-(AP84-AO84)</f>
        <v/>
      </c>
      <c r="AQ109" s="38">
        <f>-(AQ84-AP84)</f>
        <v/>
      </c>
      <c r="AR109" s="38">
        <f>-(AR84-AQ84)</f>
        <v/>
      </c>
      <c r="AS109" s="38">
        <f>-(AS84-AR84)</f>
        <v/>
      </c>
      <c r="AT109" s="38">
        <f>-(AT84-AS84)</f>
        <v/>
      </c>
      <c r="AU109" s="38">
        <f>-(AU84-AT84)</f>
        <v/>
      </c>
      <c r="AV109" s="38">
        <f>-(AV84-AU84)</f>
        <v/>
      </c>
      <c r="AW109" s="38">
        <f>-(AW84-AV84)</f>
        <v/>
      </c>
      <c r="AX109" s="38">
        <f>-(AX84-AW84)</f>
        <v/>
      </c>
      <c r="AY109" s="38">
        <f>-(AY84-AX84)</f>
        <v/>
      </c>
      <c r="AZ109" s="38">
        <f>-(AZ84-AY84)</f>
        <v/>
      </c>
      <c r="BA109" s="38">
        <f>-(BA84-AZ84)</f>
        <v/>
      </c>
      <c r="BB109" s="38">
        <f>-(BB84-BA84)</f>
        <v/>
      </c>
      <c r="BC109" s="38">
        <f>-(BC84-BB84)</f>
        <v/>
      </c>
      <c r="BD109" s="38">
        <f>-(BD84-BC84)</f>
        <v/>
      </c>
      <c r="BE109" s="38">
        <f>-(BE84-BD84)</f>
        <v/>
      </c>
      <c r="BF109" s="38">
        <f>-(BF84-BE84)</f>
        <v/>
      </c>
      <c r="BG109" s="38">
        <f>-(BG84-BF84)</f>
        <v/>
      </c>
      <c r="BH109" s="37">
        <f>-(BH84-BG84)</f>
        <v/>
      </c>
      <c r="BI109" s="37">
        <f>-(BI84-BH84)</f>
        <v/>
      </c>
      <c r="BJ109" s="37">
        <f>-(BJ84-BI84)</f>
        <v/>
      </c>
      <c r="BK109" s="37">
        <f>-(BK84-BJ84)</f>
        <v/>
      </c>
      <c r="BL109" s="37">
        <f>-(BL84-BK84)</f>
        <v/>
      </c>
      <c r="BM109" s="37">
        <f>-(BM84-BL84)</f>
        <v/>
      </c>
      <c r="BN109" s="37">
        <f>-(BN84-BM84)</f>
        <v/>
      </c>
      <c r="BO109" s="37">
        <f>-(BO84-BN84)</f>
        <v/>
      </c>
      <c r="BP109" s="37">
        <f>-(BP84-BO84)</f>
        <v/>
      </c>
      <c r="BQ109" s="37">
        <f>-(BQ84-BP84)</f>
        <v/>
      </c>
      <c r="BR109" s="30" t="inlineStr">
        <is>
          <t>−ΔInv。</t>
        </is>
      </c>
    </row>
    <row r="110">
      <c r="A110" s="4" t="inlineStr">
        <is>
          <t>CF</t>
        </is>
      </c>
      <c r="B110" s="7" t="inlineStr">
        <is>
          <t>Change in other current assets</t>
        </is>
      </c>
      <c r="C110" s="4" t="inlineStr">
        <is>
          <t>$000</t>
        </is>
      </c>
      <c r="D110" s="35" t="n">
        <v>0</v>
      </c>
      <c r="E110" s="38">
        <f>-(E85-D85)</f>
        <v/>
      </c>
      <c r="F110" s="38">
        <f>-(F85-E85)</f>
        <v/>
      </c>
      <c r="G110" s="38">
        <f>-(G85-F85)</f>
        <v/>
      </c>
      <c r="H110" s="38">
        <f>-(H85-G85)</f>
        <v/>
      </c>
      <c r="I110" s="38">
        <f>-(I85-H85)</f>
        <v/>
      </c>
      <c r="J110" s="38">
        <f>-(J85-I85)</f>
        <v/>
      </c>
      <c r="K110" s="38">
        <f>-(K85-J85)</f>
        <v/>
      </c>
      <c r="L110" s="38">
        <f>-(L85-K85)</f>
        <v/>
      </c>
      <c r="M110" s="38">
        <f>-(M85-L85)</f>
        <v/>
      </c>
      <c r="N110" s="36">
        <f>BF110+BG110+BH110+BI110</f>
        <v/>
      </c>
      <c r="O110" s="37">
        <f>BJ110+BK110+BL110+BM110</f>
        <v/>
      </c>
      <c r="P110" s="37">
        <f>BN110+BO110+BP110+BQ110</f>
        <v/>
      </c>
      <c r="R110" s="35" t="n">
        <v>0</v>
      </c>
      <c r="S110" s="38">
        <f>-(S85-R85)</f>
        <v/>
      </c>
      <c r="T110" s="38">
        <f>-(T85-S85)</f>
        <v/>
      </c>
      <c r="U110" s="38">
        <f>-(U85-T85)</f>
        <v/>
      </c>
      <c r="V110" s="38">
        <f>-(V85-U85)</f>
        <v/>
      </c>
      <c r="W110" s="38">
        <f>-(W85-V85)</f>
        <v/>
      </c>
      <c r="X110" s="38">
        <f>-(X85-W85)</f>
        <v/>
      </c>
      <c r="Y110" s="38">
        <f>-(Y85-X85)</f>
        <v/>
      </c>
      <c r="Z110" s="38">
        <f>-(Z85-Y85)</f>
        <v/>
      </c>
      <c r="AA110" s="38">
        <f>-(AA85-Z85)</f>
        <v/>
      </c>
      <c r="AB110" s="38">
        <f>-(AB85-AA85)</f>
        <v/>
      </c>
      <c r="AC110" s="38">
        <f>-(AC85-AB85)</f>
        <v/>
      </c>
      <c r="AD110" s="38">
        <f>-(AD85-AC85)</f>
        <v/>
      </c>
      <c r="AE110" s="38">
        <f>-(AE85-AD85)</f>
        <v/>
      </c>
      <c r="AF110" s="38">
        <f>-(AF85-AE85)</f>
        <v/>
      </c>
      <c r="AG110" s="38">
        <f>-(AG85-AF85)</f>
        <v/>
      </c>
      <c r="AH110" s="38">
        <f>-(AH85-AG85)</f>
        <v/>
      </c>
      <c r="AI110" s="38">
        <f>-(AI85-AH85)</f>
        <v/>
      </c>
      <c r="AJ110" s="38">
        <f>-(AJ85-AI85)</f>
        <v/>
      </c>
      <c r="AK110" s="38">
        <f>-(AK85-AJ85)</f>
        <v/>
      </c>
      <c r="AL110" s="38">
        <f>-(AL85-AK85)</f>
        <v/>
      </c>
      <c r="AM110" s="38">
        <f>-(AM85-AL85)</f>
        <v/>
      </c>
      <c r="AN110" s="38">
        <f>-(AN85-AM85)</f>
        <v/>
      </c>
      <c r="AO110" s="38">
        <f>-(AO85-AN85)</f>
        <v/>
      </c>
      <c r="AP110" s="38">
        <f>-(AP85-AO85)</f>
        <v/>
      </c>
      <c r="AQ110" s="38">
        <f>-(AQ85-AP85)</f>
        <v/>
      </c>
      <c r="AR110" s="38">
        <f>-(AR85-AQ85)</f>
        <v/>
      </c>
      <c r="AS110" s="38">
        <f>-(AS85-AR85)</f>
        <v/>
      </c>
      <c r="AT110" s="38">
        <f>-(AT85-AS85)</f>
        <v/>
      </c>
      <c r="AU110" s="38">
        <f>-(AU85-AT85)</f>
        <v/>
      </c>
      <c r="AV110" s="38">
        <f>-(AV85-AU85)</f>
        <v/>
      </c>
      <c r="AW110" s="38">
        <f>-(AW85-AV85)</f>
        <v/>
      </c>
      <c r="AX110" s="38">
        <f>-(AX85-AW85)</f>
        <v/>
      </c>
      <c r="AY110" s="38">
        <f>-(AY85-AX85)</f>
        <v/>
      </c>
      <c r="AZ110" s="38">
        <f>-(AZ85-AY85)</f>
        <v/>
      </c>
      <c r="BA110" s="38">
        <f>-(BA85-AZ85)</f>
        <v/>
      </c>
      <c r="BB110" s="38">
        <f>-(BB85-BA85)</f>
        <v/>
      </c>
      <c r="BC110" s="38">
        <f>-(BC85-BB85)</f>
        <v/>
      </c>
      <c r="BD110" s="38">
        <f>-(BD85-BC85)</f>
        <v/>
      </c>
      <c r="BE110" s="38">
        <f>-(BE85-BD85)</f>
        <v/>
      </c>
      <c r="BF110" s="38">
        <f>-(BF85-BE85)</f>
        <v/>
      </c>
      <c r="BG110" s="38">
        <f>-(BG85-BF85)</f>
        <v/>
      </c>
      <c r="BH110" s="37">
        <f>-(BH85-BG85)</f>
        <v/>
      </c>
      <c r="BI110" s="37">
        <f>-(BI85-BH85)</f>
        <v/>
      </c>
      <c r="BJ110" s="37">
        <f>-(BJ85-BI85)</f>
        <v/>
      </c>
      <c r="BK110" s="37">
        <f>-(BK85-BJ85)</f>
        <v/>
      </c>
      <c r="BL110" s="37">
        <f>-(BL85-BK85)</f>
        <v/>
      </c>
      <c r="BM110" s="37">
        <f>-(BM85-BL85)</f>
        <v/>
      </c>
      <c r="BN110" s="37">
        <f>-(BN85-BM85)</f>
        <v/>
      </c>
      <c r="BO110" s="37">
        <f>-(BO85-BN85)</f>
        <v/>
      </c>
      <c r="BP110" s="37">
        <f>-(BP85-BO85)</f>
        <v/>
      </c>
      <c r="BQ110" s="37">
        <f>-(BQ85-BP85)</f>
        <v/>
      </c>
      <c r="BR110" s="30" t="inlineStr">
        <is>
          <t>−ΔOCA。</t>
        </is>
      </c>
    </row>
    <row r="111">
      <c r="A111" s="4" t="inlineStr">
        <is>
          <t>CF</t>
        </is>
      </c>
      <c r="B111" s="7" t="inlineStr">
        <is>
          <t>Change in accounts payable</t>
        </is>
      </c>
      <c r="C111" s="4" t="inlineStr">
        <is>
          <t>$000</t>
        </is>
      </c>
      <c r="D111" s="35" t="n">
        <v>0</v>
      </c>
      <c r="E111" s="38">
        <f>E92-D92</f>
        <v/>
      </c>
      <c r="F111" s="38">
        <f>F92-E92</f>
        <v/>
      </c>
      <c r="G111" s="38">
        <f>G92-F92</f>
        <v/>
      </c>
      <c r="H111" s="38">
        <f>H92-G92</f>
        <v/>
      </c>
      <c r="I111" s="38">
        <f>I92-H92</f>
        <v/>
      </c>
      <c r="J111" s="38">
        <f>J92-I92</f>
        <v/>
      </c>
      <c r="K111" s="38">
        <f>K92-J92</f>
        <v/>
      </c>
      <c r="L111" s="38">
        <f>L92-K92</f>
        <v/>
      </c>
      <c r="M111" s="38">
        <f>M92-L92</f>
        <v/>
      </c>
      <c r="N111" s="36">
        <f>BF111+BG111+BH111+BI111</f>
        <v/>
      </c>
      <c r="O111" s="37">
        <f>BJ111+BK111+BL111+BM111</f>
        <v/>
      </c>
      <c r="P111" s="37">
        <f>BN111+BO111+BP111+BQ111</f>
        <v/>
      </c>
      <c r="R111" s="35" t="n">
        <v>0</v>
      </c>
      <c r="S111" s="38">
        <f>S92-R92</f>
        <v/>
      </c>
      <c r="T111" s="38">
        <f>T92-S92</f>
        <v/>
      </c>
      <c r="U111" s="38">
        <f>U92-T92</f>
        <v/>
      </c>
      <c r="V111" s="38">
        <f>V92-U92</f>
        <v/>
      </c>
      <c r="W111" s="38">
        <f>W92-V92</f>
        <v/>
      </c>
      <c r="X111" s="38">
        <f>X92-W92</f>
        <v/>
      </c>
      <c r="Y111" s="38">
        <f>Y92-X92</f>
        <v/>
      </c>
      <c r="Z111" s="38">
        <f>Z92-Y92</f>
        <v/>
      </c>
      <c r="AA111" s="38">
        <f>AA92-Z92</f>
        <v/>
      </c>
      <c r="AB111" s="38">
        <f>AB92-AA92</f>
        <v/>
      </c>
      <c r="AC111" s="38">
        <f>AC92-AB92</f>
        <v/>
      </c>
      <c r="AD111" s="38">
        <f>AD92-AC92</f>
        <v/>
      </c>
      <c r="AE111" s="38">
        <f>AE92-AD92</f>
        <v/>
      </c>
      <c r="AF111" s="38">
        <f>AF92-AE92</f>
        <v/>
      </c>
      <c r="AG111" s="38">
        <f>AG92-AF92</f>
        <v/>
      </c>
      <c r="AH111" s="38">
        <f>AH92-AG92</f>
        <v/>
      </c>
      <c r="AI111" s="38">
        <f>AI92-AH92</f>
        <v/>
      </c>
      <c r="AJ111" s="38">
        <f>AJ92-AI92</f>
        <v/>
      </c>
      <c r="AK111" s="38">
        <f>AK92-AJ92</f>
        <v/>
      </c>
      <c r="AL111" s="38">
        <f>AL92-AK92</f>
        <v/>
      </c>
      <c r="AM111" s="38">
        <f>AM92-AL92</f>
        <v/>
      </c>
      <c r="AN111" s="38">
        <f>AN92-AM92</f>
        <v/>
      </c>
      <c r="AO111" s="38">
        <f>AO92-AN92</f>
        <v/>
      </c>
      <c r="AP111" s="38">
        <f>AP92-AO92</f>
        <v/>
      </c>
      <c r="AQ111" s="38">
        <f>AQ92-AP92</f>
        <v/>
      </c>
      <c r="AR111" s="38">
        <f>AR92-AQ92</f>
        <v/>
      </c>
      <c r="AS111" s="38">
        <f>AS92-AR92</f>
        <v/>
      </c>
      <c r="AT111" s="38">
        <f>AT92-AS92</f>
        <v/>
      </c>
      <c r="AU111" s="38">
        <f>AU92-AT92</f>
        <v/>
      </c>
      <c r="AV111" s="38">
        <f>AV92-AU92</f>
        <v/>
      </c>
      <c r="AW111" s="38">
        <f>AW92-AV92</f>
        <v/>
      </c>
      <c r="AX111" s="38">
        <f>AX92-AW92</f>
        <v/>
      </c>
      <c r="AY111" s="38">
        <f>AY92-AX92</f>
        <v/>
      </c>
      <c r="AZ111" s="38">
        <f>AZ92-AY92</f>
        <v/>
      </c>
      <c r="BA111" s="38">
        <f>BA92-AZ92</f>
        <v/>
      </c>
      <c r="BB111" s="38">
        <f>BB92-BA92</f>
        <v/>
      </c>
      <c r="BC111" s="38">
        <f>BC92-BB92</f>
        <v/>
      </c>
      <c r="BD111" s="38">
        <f>BD92-BC92</f>
        <v/>
      </c>
      <c r="BE111" s="38">
        <f>BE92-BD92</f>
        <v/>
      </c>
      <c r="BF111" s="38">
        <f>BF92-BE92</f>
        <v/>
      </c>
      <c r="BG111" s="38">
        <f>BG92-BF92</f>
        <v/>
      </c>
      <c r="BH111" s="37">
        <f>BH92-BG92</f>
        <v/>
      </c>
      <c r="BI111" s="37">
        <f>BI92-BH92</f>
        <v/>
      </c>
      <c r="BJ111" s="37">
        <f>BJ92-BI92</f>
        <v/>
      </c>
      <c r="BK111" s="37">
        <f>BK92-BJ92</f>
        <v/>
      </c>
      <c r="BL111" s="37">
        <f>BL92-BK92</f>
        <v/>
      </c>
      <c r="BM111" s="37">
        <f>BM92-BL92</f>
        <v/>
      </c>
      <c r="BN111" s="37">
        <f>BN92-BM92</f>
        <v/>
      </c>
      <c r="BO111" s="37">
        <f>BO92-BN92</f>
        <v/>
      </c>
      <c r="BP111" s="37">
        <f>BP92-BO92</f>
        <v/>
      </c>
      <c r="BQ111" s="37">
        <f>BQ92-BP92</f>
        <v/>
      </c>
      <c r="BR111" s="30" t="inlineStr">
        <is>
          <t>+ΔAP。</t>
        </is>
      </c>
    </row>
    <row r="112">
      <c r="A112" s="4" t="inlineStr">
        <is>
          <t>CF</t>
        </is>
      </c>
      <c r="B112" s="7" t="inlineStr">
        <is>
          <t>Change in other operating liabilities</t>
        </is>
      </c>
      <c r="C112" s="4" t="inlineStr">
        <is>
          <t>$000</t>
        </is>
      </c>
      <c r="D112" s="35" t="n">
        <v>0</v>
      </c>
      <c r="E112" s="38">
        <f>(E94-D94)+(E97-D97)</f>
        <v/>
      </c>
      <c r="F112" s="38">
        <f>(F94-E94)+(F97-E97)</f>
        <v/>
      </c>
      <c r="G112" s="38">
        <f>(G94-F94)+(G97-F97)</f>
        <v/>
      </c>
      <c r="H112" s="38">
        <f>(H94-G94)+(H97-G97)</f>
        <v/>
      </c>
      <c r="I112" s="38">
        <f>(I94-H94)+(I97-H97)</f>
        <v/>
      </c>
      <c r="J112" s="38">
        <f>(J94-I94)+(J97-I97)</f>
        <v/>
      </c>
      <c r="K112" s="38">
        <f>(K94-J94)+(K97-J97)</f>
        <v/>
      </c>
      <c r="L112" s="38">
        <f>(L94-K94)+(L97-K97)</f>
        <v/>
      </c>
      <c r="M112" s="38">
        <f>(M94-L94)+(M97-L97)</f>
        <v/>
      </c>
      <c r="N112" s="36">
        <f>BF112+BG112+BH112+BI112</f>
        <v/>
      </c>
      <c r="O112" s="37">
        <f>BJ112+BK112+BL112+BM112</f>
        <v/>
      </c>
      <c r="P112" s="37">
        <f>BN112+BO112+BP112+BQ112</f>
        <v/>
      </c>
      <c r="R112" s="35" t="n">
        <v>0</v>
      </c>
      <c r="S112" s="38">
        <f>(S94-R94)+(S97-R97)</f>
        <v/>
      </c>
      <c r="T112" s="38">
        <f>(T94-S94)+(T97-S97)</f>
        <v/>
      </c>
      <c r="U112" s="38">
        <f>(U94-T94)+(U97-T97)</f>
        <v/>
      </c>
      <c r="V112" s="38">
        <f>(V94-U94)+(V97-U97)</f>
        <v/>
      </c>
      <c r="W112" s="38">
        <f>(W94-V94)+(W97-V97)</f>
        <v/>
      </c>
      <c r="X112" s="38">
        <f>(X94-W94)+(X97-W97)</f>
        <v/>
      </c>
      <c r="Y112" s="38">
        <f>(Y94-X94)+(Y97-X97)</f>
        <v/>
      </c>
      <c r="Z112" s="38">
        <f>(Z94-Y94)+(Z97-Y97)</f>
        <v/>
      </c>
      <c r="AA112" s="38">
        <f>(AA94-Z94)+(AA97-Z97)</f>
        <v/>
      </c>
      <c r="AB112" s="38">
        <f>(AB94-AA94)+(AB97-AA97)</f>
        <v/>
      </c>
      <c r="AC112" s="38">
        <f>(AC94-AB94)+(AC97-AB97)</f>
        <v/>
      </c>
      <c r="AD112" s="38">
        <f>(AD94-AC94)+(AD97-AC97)</f>
        <v/>
      </c>
      <c r="AE112" s="38">
        <f>(AE94-AD94)+(AE97-AD97)</f>
        <v/>
      </c>
      <c r="AF112" s="38">
        <f>(AF94-AE94)+(AF97-AE97)</f>
        <v/>
      </c>
      <c r="AG112" s="38">
        <f>(AG94-AF94)+(AG97-AF97)</f>
        <v/>
      </c>
      <c r="AH112" s="38">
        <f>(AH94-AG94)+(AH97-AG97)</f>
        <v/>
      </c>
      <c r="AI112" s="38">
        <f>(AI94-AH94)+(AI97-AH97)</f>
        <v/>
      </c>
      <c r="AJ112" s="38">
        <f>(AJ94-AI94)+(AJ97-AI97)</f>
        <v/>
      </c>
      <c r="AK112" s="38">
        <f>(AK94-AJ94)+(AK97-AJ97)</f>
        <v/>
      </c>
      <c r="AL112" s="38">
        <f>(AL94-AK94)+(AL97-AK97)</f>
        <v/>
      </c>
      <c r="AM112" s="38">
        <f>(AM94-AL94)+(AM97-AL97)</f>
        <v/>
      </c>
      <c r="AN112" s="38">
        <f>(AN94-AM94)+(AN97-AM97)</f>
        <v/>
      </c>
      <c r="AO112" s="38">
        <f>(AO94-AN94)+(AO97-AN97)</f>
        <v/>
      </c>
      <c r="AP112" s="38">
        <f>(AP94-AO94)+(AP97-AO97)</f>
        <v/>
      </c>
      <c r="AQ112" s="38">
        <f>(AQ94-AP94)+(AQ97-AP97)</f>
        <v/>
      </c>
      <c r="AR112" s="38">
        <f>(AR94-AQ94)+(AR97-AQ97)</f>
        <v/>
      </c>
      <c r="AS112" s="38">
        <f>(AS94-AR94)+(AS97-AR97)</f>
        <v/>
      </c>
      <c r="AT112" s="38">
        <f>(AT94-AS94)+(AT97-AS97)</f>
        <v/>
      </c>
      <c r="AU112" s="38">
        <f>(AU94-AT94)+(AU97-AT97)</f>
        <v/>
      </c>
      <c r="AV112" s="38">
        <f>(AV94-AU94)+(AV97-AU97)</f>
        <v/>
      </c>
      <c r="AW112" s="38">
        <f>(AW94-AV94)+(AW97-AV97)</f>
        <v/>
      </c>
      <c r="AX112" s="38">
        <f>(AX94-AW94)+(AX97-AW97)</f>
        <v/>
      </c>
      <c r="AY112" s="38">
        <f>(AY94-AX94)+(AY97-AX97)</f>
        <v/>
      </c>
      <c r="AZ112" s="38">
        <f>(AZ94-AY94)+(AZ97-AY97)</f>
        <v/>
      </c>
      <c r="BA112" s="38">
        <f>(BA94-AZ94)+(BA97-AZ97)</f>
        <v/>
      </c>
      <c r="BB112" s="38">
        <f>(BB94-BA94)+(BB97-BA97)</f>
        <v/>
      </c>
      <c r="BC112" s="38">
        <f>(BC94-BB94)+(BC97-BB97)</f>
        <v/>
      </c>
      <c r="BD112" s="38">
        <f>(BD94-BC94)+(BD97-BC97)</f>
        <v/>
      </c>
      <c r="BE112" s="38">
        <f>(BE94-BD94)+(BE97-BD97)</f>
        <v/>
      </c>
      <c r="BF112" s="38">
        <f>(BF94-BE94)+(BF97-BE97)</f>
        <v/>
      </c>
      <c r="BG112" s="38">
        <f>(BG94-BF94)+(BG97-BF97)</f>
        <v/>
      </c>
      <c r="BH112" s="37">
        <f>(BH94-BG94)+(BH97-BG97)</f>
        <v/>
      </c>
      <c r="BI112" s="37">
        <f>(BI94-BH94)+(BI97-BH97)</f>
        <v/>
      </c>
      <c r="BJ112" s="37">
        <f>(BJ94-BI94)+(BJ97-BI97)</f>
        <v/>
      </c>
      <c r="BK112" s="37">
        <f>(BK94-BJ94)+(BK97-BJ97)</f>
        <v/>
      </c>
      <c r="BL112" s="37">
        <f>(BL94-BK94)+(BL97-BK97)</f>
        <v/>
      </c>
      <c r="BM112" s="37">
        <f>(BM94-BL94)+(BM97-BL97)</f>
        <v/>
      </c>
      <c r="BN112" s="37">
        <f>(BN94-BM94)+(BN97-BM97)</f>
        <v/>
      </c>
      <c r="BO112" s="37">
        <f>(BO94-BN94)+(BO97-BN97)</f>
        <v/>
      </c>
      <c r="BP112" s="37">
        <f>(BP94-BO94)+(BP97-BO97)</f>
        <v/>
      </c>
      <c r="BQ112" s="37">
        <f>(BQ94-BP94)+(BQ97-BP97)</f>
        <v/>
      </c>
      <c r="BR112" s="30" t="inlineStr">
        <is>
          <t>+ΔOCL+ΔONCL。</t>
        </is>
      </c>
    </row>
    <row r="113">
      <c r="A113" s="4" t="inlineStr">
        <is>
          <t>CF</t>
        </is>
      </c>
      <c r="B113" s="5" t="inlineStr">
        <is>
          <t>Cash from operations (CFO)</t>
        </is>
      </c>
      <c r="C113" s="4" t="inlineStr">
        <is>
          <t>$000</t>
        </is>
      </c>
      <c r="D113" s="49" t="n">
        <v>117317</v>
      </c>
      <c r="E113" s="49" t="n">
        <v>75064</v>
      </c>
      <c r="F113" s="49" t="n">
        <v>102689</v>
      </c>
      <c r="G113" s="49" t="n">
        <v>78348</v>
      </c>
      <c r="H113" s="49" t="n">
        <v>73593</v>
      </c>
      <c r="I113" s="49" t="n">
        <v>168233</v>
      </c>
      <c r="J113" s="49" t="n">
        <v>388726</v>
      </c>
      <c r="K113" s="49" t="n">
        <v>43372</v>
      </c>
      <c r="L113" s="49" t="n">
        <v>-45295</v>
      </c>
      <c r="M113" s="49" t="n">
        <v>19619</v>
      </c>
      <c r="N113" s="42">
        <f>BF113+BG113+BH113+BI113</f>
        <v/>
      </c>
      <c r="O113" s="42">
        <f>BJ113+BK113+BL113+BM113</f>
        <v/>
      </c>
      <c r="P113" s="42">
        <f>BN113+BO113+BP113+BQ113</f>
        <v/>
      </c>
      <c r="R113" s="42">
        <f>R105+R106+R107+R108+R109+R110+R111+R112</f>
        <v/>
      </c>
      <c r="S113" s="42">
        <f>S105+S106+S107+S108+S109+S110+S111+S112</f>
        <v/>
      </c>
      <c r="T113" s="42">
        <f>T105+T106+T107+T108+T109+T110+T111+T112</f>
        <v/>
      </c>
      <c r="U113" s="42">
        <f>U105+U106+U107+U108+U109+U110+U111+U112</f>
        <v/>
      </c>
      <c r="V113" s="42">
        <f>V105+V106+V107+V108+V109+V110+V111+V112</f>
        <v/>
      </c>
      <c r="W113" s="42">
        <f>W105+W106+W107+W108+W109+W110+W111+W112</f>
        <v/>
      </c>
      <c r="X113" s="42">
        <f>X105+X106+X107+X108+X109+X110+X111+X112</f>
        <v/>
      </c>
      <c r="Y113" s="42">
        <f>Y105+Y106+Y107+Y108+Y109+Y110+Y111+Y112</f>
        <v/>
      </c>
      <c r="Z113" s="42">
        <f>Z105+Z106+Z107+Z108+Z109+Z110+Z111+Z112</f>
        <v/>
      </c>
      <c r="AA113" s="42">
        <f>AA105+AA106+AA107+AA108+AA109+AA110+AA111+AA112</f>
        <v/>
      </c>
      <c r="AB113" s="42">
        <f>AB105+AB106+AB107+AB108+AB109+AB110+AB111+AB112</f>
        <v/>
      </c>
      <c r="AC113" s="42">
        <f>AC105+AC106+AC107+AC108+AC109+AC110+AC111+AC112</f>
        <v/>
      </c>
      <c r="AD113" s="42">
        <f>AD105+AD106+AD107+AD108+AD109+AD110+AD111+AD112</f>
        <v/>
      </c>
      <c r="AE113" s="42">
        <f>AE105+AE106+AE107+AE108+AE109+AE110+AE111+AE112</f>
        <v/>
      </c>
      <c r="AF113" s="42">
        <f>AF105+AF106+AF107+AF108+AF109+AF110+AF111+AF112</f>
        <v/>
      </c>
      <c r="AG113" s="42">
        <f>AG105+AG106+AG107+AG108+AG109+AG110+AG111+AG112</f>
        <v/>
      </c>
      <c r="AH113" s="42">
        <f>AH105+AH106+AH107+AH108+AH109+AH110+AH111+AH112</f>
        <v/>
      </c>
      <c r="AI113" s="42">
        <f>AI105+AI106+AI107+AI108+AI109+AI110+AI111+AI112</f>
        <v/>
      </c>
      <c r="AJ113" s="42">
        <f>AJ105+AJ106+AJ107+AJ108+AJ109+AJ110+AJ111+AJ112</f>
        <v/>
      </c>
      <c r="AK113" s="42">
        <f>AK105+AK106+AK107+AK108+AK109+AK110+AK111+AK112</f>
        <v/>
      </c>
      <c r="AL113" s="42">
        <f>AL105+AL106+AL107+AL108+AL109+AL110+AL111+AL112</f>
        <v/>
      </c>
      <c r="AM113" s="42">
        <f>AM105+AM106+AM107+AM108+AM109+AM110+AM111+AM112</f>
        <v/>
      </c>
      <c r="AN113" s="42">
        <f>AN105+AN106+AN107+AN108+AN109+AN110+AN111+AN112</f>
        <v/>
      </c>
      <c r="AO113" s="42">
        <f>AO105+AO106+AO107+AO108+AO109+AO110+AO111+AO112</f>
        <v/>
      </c>
      <c r="AP113" s="42">
        <f>AP105+AP106+AP107+AP108+AP109+AP110+AP111+AP112</f>
        <v/>
      </c>
      <c r="AQ113" s="42">
        <f>AQ105+AQ106+AQ107+AQ108+AQ109+AQ110+AQ111+AQ112</f>
        <v/>
      </c>
      <c r="AR113" s="42">
        <f>AR105+AR106+AR107+AR108+AR109+AR110+AR111+AR112</f>
        <v/>
      </c>
      <c r="AS113" s="42">
        <f>AS105+AS106+AS107+AS108+AS109+AS110+AS111+AS112</f>
        <v/>
      </c>
      <c r="AT113" s="42">
        <f>AT105+AT106+AT107+AT108+AT109+AT110+AT111+AT112</f>
        <v/>
      </c>
      <c r="AU113" s="42">
        <f>AU105+AU106+AU107+AU108+AU109+AU110+AU111+AU112</f>
        <v/>
      </c>
      <c r="AV113" s="42">
        <f>AV105+AV106+AV107+AV108+AV109+AV110+AV111+AV112</f>
        <v/>
      </c>
      <c r="AW113" s="42">
        <f>AW105+AW106+AW107+AW108+AW109+AW110+AW111+AW112</f>
        <v/>
      </c>
      <c r="AX113" s="42">
        <f>AX105+AX106+AX107+AX108+AX109+AX110+AX111+AX112</f>
        <v/>
      </c>
      <c r="AY113" s="42">
        <f>AY105+AY106+AY107+AY108+AY109+AY110+AY111+AY112</f>
        <v/>
      </c>
      <c r="AZ113" s="42">
        <f>AZ105+AZ106+AZ107+AZ108+AZ109+AZ110+AZ111+AZ112</f>
        <v/>
      </c>
      <c r="BA113" s="42">
        <f>BA105+BA106+BA107+BA108+BA109+BA110+BA111+BA112</f>
        <v/>
      </c>
      <c r="BB113" s="42">
        <f>BB105+BB106+BB107+BB108+BB109+BB110+BB111+BB112</f>
        <v/>
      </c>
      <c r="BC113" s="42">
        <f>BC105+BC106+BC107+BC108+BC109+BC110+BC111+BC112</f>
        <v/>
      </c>
      <c r="BD113" s="42">
        <f>BD105+BD106+BD107+BD108+BD109+BD110+BD111+BD112</f>
        <v/>
      </c>
      <c r="BE113" s="42">
        <f>BE105+BE106+BE107+BE108+BE109+BE110+BE111+BE112</f>
        <v/>
      </c>
      <c r="BF113" s="42">
        <f>BF105+BF106+BF107+BF108+BF109+BF110+BF111+BF112</f>
        <v/>
      </c>
      <c r="BG113" s="42">
        <f>BG105+BG106+BG107+BG108+BG109+BG110+BG111+BG112</f>
        <v/>
      </c>
      <c r="BH113" s="42">
        <f>BH105+BH106+BH107+BH108+BH109+BH110+BH111+BH112</f>
        <v/>
      </c>
      <c r="BI113" s="42">
        <f>BI105+BI106+BI107+BI108+BI109+BI110+BI111+BI112</f>
        <v/>
      </c>
      <c r="BJ113" s="42">
        <f>BJ105+BJ106+BJ107+BJ108+BJ109+BJ110+BJ111+BJ112</f>
        <v/>
      </c>
      <c r="BK113" s="42">
        <f>BK105+BK106+BK107+BK108+BK109+BK110+BK111+BK112</f>
        <v/>
      </c>
      <c r="BL113" s="42">
        <f>BL105+BL106+BL107+BL108+BL109+BL110+BL111+BL112</f>
        <v/>
      </c>
      <c r="BM113" s="42">
        <f>BM105+BM106+BM107+BM108+BM109+BM110+BM111+BM112</f>
        <v/>
      </c>
      <c r="BN113" s="42">
        <f>BN105+BN106+BN107+BN108+BN109+BN110+BN111+BN112</f>
        <v/>
      </c>
      <c r="BO113" s="42">
        <f>BO105+BO106+BO107+BO108+BO109+BO110+BO111+BO112</f>
        <v/>
      </c>
      <c r="BP113" s="42">
        <f>BP105+BP106+BP107+BP108+BP109+BP110+BP111+BP112</f>
        <v/>
      </c>
      <c r="BQ113" s="42">
        <f>BQ105+BQ106+BQ107+BQ108+BQ109+BQ110+BQ111+BQ112</f>
        <v/>
      </c>
      <c r="BR113" s="30" t="inlineStr">
        <is>
          <t>经营活动现金流。历史年度用10-K报告值。</t>
        </is>
      </c>
    </row>
    <row r="114">
      <c r="A114" s="4" t="inlineStr">
        <is>
          <t>CF</t>
        </is>
      </c>
      <c r="B114" s="7" t="inlineStr">
        <is>
          <t>Capital expenditures</t>
        </is>
      </c>
      <c r="C114" s="4" t="inlineStr">
        <is>
          <t>$000</t>
        </is>
      </c>
      <c r="D114" s="35" t="n">
        <v>-8512</v>
      </c>
      <c r="E114" s="35" t="n">
        <v>-7468</v>
      </c>
      <c r="F114" s="35" t="n">
        <v>-7825</v>
      </c>
      <c r="G114" s="35" t="n">
        <v>-6887</v>
      </c>
      <c r="H114" s="35" t="n">
        <v>-12487</v>
      </c>
      <c r="I114" s="35" t="n">
        <v>-39176</v>
      </c>
      <c r="J114" s="35" t="n">
        <v>-41253</v>
      </c>
      <c r="K114" s="35" t="n">
        <v>-13454</v>
      </c>
      <c r="L114" s="35" t="n">
        <v>-17680</v>
      </c>
      <c r="M114" s="35" t="n">
        <v>-12598</v>
      </c>
      <c r="N114" s="36">
        <f>BF114+BG114+BH114+BI114</f>
        <v/>
      </c>
      <c r="O114" s="37">
        <f>BJ114+BK114+BL114+BM114</f>
        <v/>
      </c>
      <c r="P114" s="37">
        <f>BN114+BO114+BP114+BQ114</f>
        <v/>
      </c>
      <c r="R114" s="38">
        <f>-R54</f>
        <v/>
      </c>
      <c r="S114" s="38">
        <f>-S54</f>
        <v/>
      </c>
      <c r="T114" s="38">
        <f>-T54</f>
        <v/>
      </c>
      <c r="U114" s="38">
        <f>-U54</f>
        <v/>
      </c>
      <c r="V114" s="38">
        <f>-V54</f>
        <v/>
      </c>
      <c r="W114" s="38">
        <f>-W54</f>
        <v/>
      </c>
      <c r="X114" s="38">
        <f>-X54</f>
        <v/>
      </c>
      <c r="Y114" s="38">
        <f>-Y54</f>
        <v/>
      </c>
      <c r="Z114" s="38">
        <f>-Z54</f>
        <v/>
      </c>
      <c r="AA114" s="38">
        <f>-AA54</f>
        <v/>
      </c>
      <c r="AB114" s="38">
        <f>-AB54</f>
        <v/>
      </c>
      <c r="AC114" s="38">
        <f>-AC54</f>
        <v/>
      </c>
      <c r="AD114" s="38">
        <f>-AD54</f>
        <v/>
      </c>
      <c r="AE114" s="38">
        <f>-AE54</f>
        <v/>
      </c>
      <c r="AF114" s="38">
        <f>-AF54</f>
        <v/>
      </c>
      <c r="AG114" s="38">
        <f>-AG54</f>
        <v/>
      </c>
      <c r="AH114" s="38">
        <f>-AH54</f>
        <v/>
      </c>
      <c r="AI114" s="38">
        <f>-AI54</f>
        <v/>
      </c>
      <c r="AJ114" s="38">
        <f>-AJ54</f>
        <v/>
      </c>
      <c r="AK114" s="38">
        <f>-AK54</f>
        <v/>
      </c>
      <c r="AL114" s="38">
        <f>-AL54</f>
        <v/>
      </c>
      <c r="AM114" s="38">
        <f>-AM54</f>
        <v/>
      </c>
      <c r="AN114" s="38">
        <f>-AN54</f>
        <v/>
      </c>
      <c r="AO114" s="38">
        <f>-AO54</f>
        <v/>
      </c>
      <c r="AP114" s="38">
        <f>-AP54</f>
        <v/>
      </c>
      <c r="AQ114" s="38">
        <f>-AQ54</f>
        <v/>
      </c>
      <c r="AR114" s="38">
        <f>-AR54</f>
        <v/>
      </c>
      <c r="AS114" s="38">
        <f>-AS54</f>
        <v/>
      </c>
      <c r="AT114" s="38">
        <f>-AT54</f>
        <v/>
      </c>
      <c r="AU114" s="38">
        <f>-AU54</f>
        <v/>
      </c>
      <c r="AV114" s="38">
        <f>-AV54</f>
        <v/>
      </c>
      <c r="AW114" s="38">
        <f>-AW54</f>
        <v/>
      </c>
      <c r="AX114" s="38">
        <f>-AX54</f>
        <v/>
      </c>
      <c r="AY114" s="38">
        <f>-AY54</f>
        <v/>
      </c>
      <c r="AZ114" s="38">
        <f>-AZ54</f>
        <v/>
      </c>
      <c r="BA114" s="38">
        <f>-BA54</f>
        <v/>
      </c>
      <c r="BB114" s="38">
        <f>-BB54</f>
        <v/>
      </c>
      <c r="BC114" s="38">
        <f>-BC54</f>
        <v/>
      </c>
      <c r="BD114" s="38">
        <f>-BD54</f>
        <v/>
      </c>
      <c r="BE114" s="38">
        <f>-BE54</f>
        <v/>
      </c>
      <c r="BF114" s="38">
        <f>-BF54</f>
        <v/>
      </c>
      <c r="BG114" s="38">
        <f>-BG54</f>
        <v/>
      </c>
      <c r="BH114" s="37">
        <f>-BH54</f>
        <v/>
      </c>
      <c r="BI114" s="37">
        <f>-BI54</f>
        <v/>
      </c>
      <c r="BJ114" s="37">
        <f>-BJ54</f>
        <v/>
      </c>
      <c r="BK114" s="37">
        <f>-BK54</f>
        <v/>
      </c>
      <c r="BL114" s="37">
        <f>-BL54</f>
        <v/>
      </c>
      <c r="BM114" s="37">
        <f>-BM54</f>
        <v/>
      </c>
      <c r="BN114" s="37">
        <f>-BN54</f>
        <v/>
      </c>
      <c r="BO114" s="37">
        <f>-BO54</f>
        <v/>
      </c>
      <c r="BP114" s="37">
        <f>-BP54</f>
        <v/>
      </c>
      <c r="BQ114" s="37">
        <f>-BQ54</f>
        <v/>
      </c>
      <c r="BR114" s="30" t="inlineStr">
        <is>
          <t>−Capex。</t>
        </is>
      </c>
    </row>
    <row r="115">
      <c r="A115" s="4" t="inlineStr">
        <is>
          <t>CF</t>
        </is>
      </c>
      <c r="B115" s="7" t="inlineStr">
        <is>
          <t>Change in other non-current assets</t>
        </is>
      </c>
      <c r="C115" s="4" t="inlineStr">
        <is>
          <t>$000</t>
        </is>
      </c>
      <c r="D115" s="35" t="n">
        <v>-92801</v>
      </c>
      <c r="E115" s="35" t="n">
        <v>-424683</v>
      </c>
      <c r="F115" s="35" t="n">
        <v>0</v>
      </c>
      <c r="G115" s="35" t="n">
        <v>-86</v>
      </c>
      <c r="H115" s="35" t="n">
        <v>-162799</v>
      </c>
      <c r="I115" s="35" t="n">
        <v>-52581</v>
      </c>
      <c r="J115" s="35" t="n">
        <v>-50509</v>
      </c>
      <c r="K115" s="35" t="n">
        <v>-2481</v>
      </c>
      <c r="L115" s="35" t="n">
        <v>-5766</v>
      </c>
      <c r="M115" s="35" t="n">
        <v>-7197</v>
      </c>
      <c r="N115" s="36">
        <f>BF115+BG115+BH115+BI115</f>
        <v/>
      </c>
      <c r="O115" s="37">
        <f>BJ115+BK115+BL115+BM115</f>
        <v/>
      </c>
      <c r="P115" s="37">
        <f>BN115+BO115+BP115+BQ115</f>
        <v/>
      </c>
      <c r="R115" s="35" t="n">
        <v>0</v>
      </c>
      <c r="S115" s="38">
        <f>-((S88+S89+S90)-(R88+R89+R90))</f>
        <v/>
      </c>
      <c r="T115" s="38">
        <f>-((T88+T89+T90)-(S88+S89+S90))</f>
        <v/>
      </c>
      <c r="U115" s="38">
        <f>-((U88+U89+U90)-(T88+T89+T90))</f>
        <v/>
      </c>
      <c r="V115" s="38">
        <f>-((V88+V89+V90)-(U88+U89+U90))</f>
        <v/>
      </c>
      <c r="W115" s="38">
        <f>-((W88+W89+W90)-(V88+V89+V90))</f>
        <v/>
      </c>
      <c r="X115" s="38">
        <f>-((X88+X89+X90)-(W88+W89+W90))</f>
        <v/>
      </c>
      <c r="Y115" s="38">
        <f>-((Y88+Y89+Y90)-(X88+X89+X90))</f>
        <v/>
      </c>
      <c r="Z115" s="38">
        <f>-((Z88+Z89+Z90)-(Y88+Y89+Y90))</f>
        <v/>
      </c>
      <c r="AA115" s="38">
        <f>-((AA88+AA89+AA90)-(Z88+Z89+Z90))</f>
        <v/>
      </c>
      <c r="AB115" s="38">
        <f>-((AB88+AB89+AB90)-(AA88+AA89+AA90))</f>
        <v/>
      </c>
      <c r="AC115" s="38">
        <f>-((AC88+AC89+AC90)-(AB88+AB89+AB90))</f>
        <v/>
      </c>
      <c r="AD115" s="38">
        <f>-((AD88+AD89+AD90)-(AC88+AC89+AC90))</f>
        <v/>
      </c>
      <c r="AE115" s="38">
        <f>-((AE88+AE89+AE90)-(AD88+AD89+AD90))</f>
        <v/>
      </c>
      <c r="AF115" s="38">
        <f>-((AF88+AF89+AF90)-(AE88+AE89+AE90))</f>
        <v/>
      </c>
      <c r="AG115" s="38">
        <f>-((AG88+AG89+AG90)-(AF88+AF89+AF90))</f>
        <v/>
      </c>
      <c r="AH115" s="38">
        <f>-((AH88+AH89+AH90)-(AG88+AG89+AG90))</f>
        <v/>
      </c>
      <c r="AI115" s="38">
        <f>-((AI88+AI89+AI90)-(AH88+AH89+AH90))</f>
        <v/>
      </c>
      <c r="AJ115" s="38">
        <f>-((AJ88+AJ89+AJ90)-(AI88+AI89+AI90))</f>
        <v/>
      </c>
      <c r="AK115" s="38">
        <f>-((AK88+AK89+AK90)-(AJ88+AJ89+AJ90))</f>
        <v/>
      </c>
      <c r="AL115" s="38">
        <f>-((AL88+AL89+AL90)-(AK88+AK89+AK90))</f>
        <v/>
      </c>
      <c r="AM115" s="38">
        <f>-((AM88+AM89+AM90)-(AL88+AL89+AL90))</f>
        <v/>
      </c>
      <c r="AN115" s="38">
        <f>-((AN88+AN89+AN90)-(AM88+AM89+AM90))</f>
        <v/>
      </c>
      <c r="AO115" s="38">
        <f>-((AO88+AO89+AO90)-(AN88+AN89+AN90))</f>
        <v/>
      </c>
      <c r="AP115" s="38">
        <f>-((AP88+AP89+AP90)-(AO88+AO89+AO90))</f>
        <v/>
      </c>
      <c r="AQ115" s="38">
        <f>-((AQ88+AQ89+AQ90)-(AP88+AP89+AP90))</f>
        <v/>
      </c>
      <c r="AR115" s="38">
        <f>-((AR88+AR89+AR90)-(AQ88+AQ89+AQ90))</f>
        <v/>
      </c>
      <c r="AS115" s="38">
        <f>-((AS88+AS89+AS90)-(AR88+AR89+AR90))</f>
        <v/>
      </c>
      <c r="AT115" s="38">
        <f>-((AT88+AT89+AT90)-(AS88+AS89+AS90))</f>
        <v/>
      </c>
      <c r="AU115" s="38">
        <f>-((AU88+AU89+AU90)-(AT88+AT89+AT90))</f>
        <v/>
      </c>
      <c r="AV115" s="38">
        <f>-((AV88+AV89+AV90)-(AU88+AU89+AU90))</f>
        <v/>
      </c>
      <c r="AW115" s="38">
        <f>-((AW88+AW89+AW90)-(AV88+AV89+AV90))</f>
        <v/>
      </c>
      <c r="AX115" s="38">
        <f>-((AX88+AX89+AX90)-(AW88+AW89+AW90))</f>
        <v/>
      </c>
      <c r="AY115" s="38">
        <f>-((AY88+AY89+AY90)-(AX88+AX89+AX90))</f>
        <v/>
      </c>
      <c r="AZ115" s="38">
        <f>-((AZ88+AZ89+AZ90)-(AY88+AY89+AY90))</f>
        <v/>
      </c>
      <c r="BA115" s="38">
        <f>-((BA88+BA89+BA90)-(AZ88+AZ89+AZ90))</f>
        <v/>
      </c>
      <c r="BB115" s="38">
        <f>-((BB88+BB89+BB90)-(BA88+BA89+BA90))</f>
        <v/>
      </c>
      <c r="BC115" s="38">
        <f>-((BC88+BC89+BC90)-(BB88+BB89+BB90))</f>
        <v/>
      </c>
      <c r="BD115" s="38">
        <f>-((BD88+BD89+BD90)-(BC88+BC89+BC90))</f>
        <v/>
      </c>
      <c r="BE115" s="38">
        <f>-((BE88+BE89+BE90)-(BD88+BD89+BD90))</f>
        <v/>
      </c>
      <c r="BF115" s="38">
        <f>-((BF88+BF89+BF90)-(BE88+BE89+BE90))</f>
        <v/>
      </c>
      <c r="BG115" s="38">
        <f>-((BG88+BG89+BG90)-(BF88+BF89+BF90))</f>
        <v/>
      </c>
      <c r="BH115" s="37">
        <f>-(BH90-BG90)</f>
        <v/>
      </c>
      <c r="BI115" s="37">
        <f>-(BI90-BH90)</f>
        <v/>
      </c>
      <c r="BJ115" s="37">
        <f>-(BJ90-BI90)</f>
        <v/>
      </c>
      <c r="BK115" s="37">
        <f>-(BK90-BJ90)</f>
        <v/>
      </c>
      <c r="BL115" s="37">
        <f>-(BL90-BK90)</f>
        <v/>
      </c>
      <c r="BM115" s="37">
        <f>-(BM90-BL90)</f>
        <v/>
      </c>
      <c r="BN115" s="37">
        <f>-(BN90-BM90)</f>
        <v/>
      </c>
      <c r="BO115" s="37">
        <f>-(BO90-BN90)</f>
        <v/>
      </c>
      <c r="BP115" s="37">
        <f>-(BP90-BO90)</f>
        <v/>
      </c>
      <c r="BQ115" s="37">
        <f>-(BQ90-BP90)</f>
        <v/>
      </c>
      <c r="BR115" s="30" t="inlineStr">
        <is>
          <t>−Δ(GW+IA+ONCA)。预测IA下降为非现金（已在D&amp;A加回），本行对IA不重复计入。</t>
        </is>
      </c>
    </row>
    <row r="116">
      <c r="A116" s="4" t="inlineStr">
        <is>
          <t>CF</t>
        </is>
      </c>
      <c r="B116" s="5" t="inlineStr">
        <is>
          <t>Cash from investing (CFI)</t>
        </is>
      </c>
      <c r="C116" s="4" t="inlineStr">
        <is>
          <t>$000</t>
        </is>
      </c>
      <c r="D116" s="42">
        <f>D114+D115</f>
        <v/>
      </c>
      <c r="E116" s="42">
        <f>E114+E115</f>
        <v/>
      </c>
      <c r="F116" s="42">
        <f>F114+F115</f>
        <v/>
      </c>
      <c r="G116" s="42">
        <f>G114+G115</f>
        <v/>
      </c>
      <c r="H116" s="42">
        <f>H114+H115</f>
        <v/>
      </c>
      <c r="I116" s="42">
        <f>I114+I115</f>
        <v/>
      </c>
      <c r="J116" s="42">
        <f>J114+J115</f>
        <v/>
      </c>
      <c r="K116" s="42">
        <f>K114+K115</f>
        <v/>
      </c>
      <c r="L116" s="42">
        <f>L114+L115</f>
        <v/>
      </c>
      <c r="M116" s="42">
        <f>M114+M115</f>
        <v/>
      </c>
      <c r="N116" s="42">
        <f>BF116+BG116+BH116+BI116</f>
        <v/>
      </c>
      <c r="O116" s="42">
        <f>BJ116+BK116+BL116+BM116</f>
        <v/>
      </c>
      <c r="P116" s="42">
        <f>BN116+BO116+BP116+BQ116</f>
        <v/>
      </c>
      <c r="R116" s="42">
        <f>R114+R115</f>
        <v/>
      </c>
      <c r="S116" s="42">
        <f>S114+S115</f>
        <v/>
      </c>
      <c r="T116" s="42">
        <f>T114+T115</f>
        <v/>
      </c>
      <c r="U116" s="42">
        <f>U114+U115</f>
        <v/>
      </c>
      <c r="V116" s="42">
        <f>V114+V115</f>
        <v/>
      </c>
      <c r="W116" s="42">
        <f>W114+W115</f>
        <v/>
      </c>
      <c r="X116" s="42">
        <f>X114+X115</f>
        <v/>
      </c>
      <c r="Y116" s="42">
        <f>Y114+Y115</f>
        <v/>
      </c>
      <c r="Z116" s="42">
        <f>Z114+Z115</f>
        <v/>
      </c>
      <c r="AA116" s="42">
        <f>AA114+AA115</f>
        <v/>
      </c>
      <c r="AB116" s="42">
        <f>AB114+AB115</f>
        <v/>
      </c>
      <c r="AC116" s="42">
        <f>AC114+AC115</f>
        <v/>
      </c>
      <c r="AD116" s="42">
        <f>AD114+AD115</f>
        <v/>
      </c>
      <c r="AE116" s="42">
        <f>AE114+AE115</f>
        <v/>
      </c>
      <c r="AF116" s="42">
        <f>AF114+AF115</f>
        <v/>
      </c>
      <c r="AG116" s="42">
        <f>AG114+AG115</f>
        <v/>
      </c>
      <c r="AH116" s="42">
        <f>AH114+AH115</f>
        <v/>
      </c>
      <c r="AI116" s="42">
        <f>AI114+AI115</f>
        <v/>
      </c>
      <c r="AJ116" s="42">
        <f>AJ114+AJ115</f>
        <v/>
      </c>
      <c r="AK116" s="42">
        <f>AK114+AK115</f>
        <v/>
      </c>
      <c r="AL116" s="42">
        <f>AL114+AL115</f>
        <v/>
      </c>
      <c r="AM116" s="42">
        <f>AM114+AM115</f>
        <v/>
      </c>
      <c r="AN116" s="42">
        <f>AN114+AN115</f>
        <v/>
      </c>
      <c r="AO116" s="42">
        <f>AO114+AO115</f>
        <v/>
      </c>
      <c r="AP116" s="42">
        <f>AP114+AP115</f>
        <v/>
      </c>
      <c r="AQ116" s="42">
        <f>AQ114+AQ115</f>
        <v/>
      </c>
      <c r="AR116" s="42">
        <f>AR114+AR115</f>
        <v/>
      </c>
      <c r="AS116" s="42">
        <f>AS114+AS115</f>
        <v/>
      </c>
      <c r="AT116" s="42">
        <f>AT114+AT115</f>
        <v/>
      </c>
      <c r="AU116" s="42">
        <f>AU114+AU115</f>
        <v/>
      </c>
      <c r="AV116" s="42">
        <f>AV114+AV115</f>
        <v/>
      </c>
      <c r="AW116" s="42">
        <f>AW114+AW115</f>
        <v/>
      </c>
      <c r="AX116" s="42">
        <f>AX114+AX115</f>
        <v/>
      </c>
      <c r="AY116" s="42">
        <f>AY114+AY115</f>
        <v/>
      </c>
      <c r="AZ116" s="42">
        <f>AZ114+AZ115</f>
        <v/>
      </c>
      <c r="BA116" s="42">
        <f>BA114+BA115</f>
        <v/>
      </c>
      <c r="BB116" s="42">
        <f>BB114+BB115</f>
        <v/>
      </c>
      <c r="BC116" s="42">
        <f>BC114+BC115</f>
        <v/>
      </c>
      <c r="BD116" s="42">
        <f>BD114+BD115</f>
        <v/>
      </c>
      <c r="BE116" s="42">
        <f>BE114+BE115</f>
        <v/>
      </c>
      <c r="BF116" s="42">
        <f>BF114+BF115</f>
        <v/>
      </c>
      <c r="BG116" s="42">
        <f>BG114+BG115</f>
        <v/>
      </c>
      <c r="BH116" s="42">
        <f>BH114+BH115</f>
        <v/>
      </c>
      <c r="BI116" s="42">
        <f>BI114+BI115</f>
        <v/>
      </c>
      <c r="BJ116" s="42">
        <f>BJ114+BJ115</f>
        <v/>
      </c>
      <c r="BK116" s="42">
        <f>BK114+BK115</f>
        <v/>
      </c>
      <c r="BL116" s="42">
        <f>BL114+BL115</f>
        <v/>
      </c>
      <c r="BM116" s="42">
        <f>BM114+BM115</f>
        <v/>
      </c>
      <c r="BN116" s="42">
        <f>BN114+BN115</f>
        <v/>
      </c>
      <c r="BO116" s="42">
        <f>BO114+BO115</f>
        <v/>
      </c>
      <c r="BP116" s="42">
        <f>BP114+BP115</f>
        <v/>
      </c>
      <c r="BQ116" s="42">
        <f>BQ114+BQ115</f>
        <v/>
      </c>
      <c r="BR116" s="30" t="inlineStr">
        <is>
          <t>投资活动现金流。</t>
        </is>
      </c>
    </row>
    <row r="117">
      <c r="A117" s="4" t="inlineStr">
        <is>
          <t>CF</t>
        </is>
      </c>
      <c r="B117" s="7" t="inlineStr">
        <is>
          <t>Net debt issuance / (repayment)</t>
        </is>
      </c>
      <c r="C117" s="4" t="inlineStr">
        <is>
          <t>$000</t>
        </is>
      </c>
      <c r="D117" s="35" t="n">
        <v>0</v>
      </c>
      <c r="E117" s="35" t="n">
        <v>0</v>
      </c>
      <c r="F117" s="35" t="n">
        <v>0</v>
      </c>
      <c r="G117" s="35" t="n">
        <v>0</v>
      </c>
      <c r="H117" s="35" t="n">
        <v>0</v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6">
        <f>BF117+BG117+BH117+BI117</f>
        <v/>
      </c>
      <c r="O117" s="37">
        <f>BJ117+BK117+BL117+BM117</f>
        <v/>
      </c>
      <c r="P117" s="37">
        <f>BN117+BO117+BP117+BQ117</f>
        <v/>
      </c>
      <c r="R117" s="35" t="n">
        <v>0</v>
      </c>
      <c r="S117" s="38">
        <f>(S93-R93)+(S96-R96)</f>
        <v/>
      </c>
      <c r="T117" s="38">
        <f>(T93-S93)+(T96-S96)</f>
        <v/>
      </c>
      <c r="U117" s="38">
        <f>(U93-T93)+(U96-T96)</f>
        <v/>
      </c>
      <c r="V117" s="38">
        <f>(V93-U93)+(V96-U96)</f>
        <v/>
      </c>
      <c r="W117" s="38">
        <f>(W93-V93)+(W96-V96)</f>
        <v/>
      </c>
      <c r="X117" s="38">
        <f>(X93-W93)+(X96-W96)</f>
        <v/>
      </c>
      <c r="Y117" s="38">
        <f>(Y93-X93)+(Y96-X96)</f>
        <v/>
      </c>
      <c r="Z117" s="38">
        <f>(Z93-Y93)+(Z96-Y96)</f>
        <v/>
      </c>
      <c r="AA117" s="38">
        <f>(AA93-Z93)+(AA96-Z96)</f>
        <v/>
      </c>
      <c r="AB117" s="38">
        <f>(AB93-AA93)+(AB96-AA96)</f>
        <v/>
      </c>
      <c r="AC117" s="38">
        <f>(AC93-AB93)+(AC96-AB96)</f>
        <v/>
      </c>
      <c r="AD117" s="38">
        <f>(AD93-AC93)+(AD96-AC96)</f>
        <v/>
      </c>
      <c r="AE117" s="38">
        <f>(AE93-AD93)+(AE96-AD96)</f>
        <v/>
      </c>
      <c r="AF117" s="38">
        <f>(AF93-AE93)+(AF96-AE96)</f>
        <v/>
      </c>
      <c r="AG117" s="38">
        <f>(AG93-AF93)+(AG96-AF96)</f>
        <v/>
      </c>
      <c r="AH117" s="38">
        <f>(AH93-AG93)+(AH96-AG96)</f>
        <v/>
      </c>
      <c r="AI117" s="38">
        <f>(AI93-AH93)+(AI96-AH96)</f>
        <v/>
      </c>
      <c r="AJ117" s="38">
        <f>(AJ93-AI93)+(AJ96-AI96)</f>
        <v/>
      </c>
      <c r="AK117" s="38">
        <f>(AK93-AJ93)+(AK96-AJ96)</f>
        <v/>
      </c>
      <c r="AL117" s="38">
        <f>(AL93-AK93)+(AL96-AK96)</f>
        <v/>
      </c>
      <c r="AM117" s="38">
        <f>(AM93-AL93)+(AM96-AL96)</f>
        <v/>
      </c>
      <c r="AN117" s="38">
        <f>(AN93-AM93)+(AN96-AM96)</f>
        <v/>
      </c>
      <c r="AO117" s="38">
        <f>(AO93-AN93)+(AO96-AN96)</f>
        <v/>
      </c>
      <c r="AP117" s="38">
        <f>(AP93-AO93)+(AP96-AO96)</f>
        <v/>
      </c>
      <c r="AQ117" s="38">
        <f>(AQ93-AP93)+(AQ96-AP96)</f>
        <v/>
      </c>
      <c r="AR117" s="38">
        <f>(AR93-AQ93)+(AR96-AQ96)</f>
        <v/>
      </c>
      <c r="AS117" s="38">
        <f>(AS93-AR93)+(AS96-AR96)</f>
        <v/>
      </c>
      <c r="AT117" s="38">
        <f>(AT93-AS93)+(AT96-AS96)</f>
        <v/>
      </c>
      <c r="AU117" s="38">
        <f>(AU93-AT93)+(AU96-AT96)</f>
        <v/>
      </c>
      <c r="AV117" s="38">
        <f>(AV93-AU93)+(AV96-AU96)</f>
        <v/>
      </c>
      <c r="AW117" s="38">
        <f>(AW93-AV93)+(AW96-AV96)</f>
        <v/>
      </c>
      <c r="AX117" s="38">
        <f>(AX93-AW93)+(AX96-AW96)</f>
        <v/>
      </c>
      <c r="AY117" s="38">
        <f>(AY93-AX93)+(AY96-AX96)</f>
        <v/>
      </c>
      <c r="AZ117" s="38">
        <f>(AZ93-AY93)+(AZ96-AY96)</f>
        <v/>
      </c>
      <c r="BA117" s="38">
        <f>(BA93-AZ93)+(BA96-AZ96)</f>
        <v/>
      </c>
      <c r="BB117" s="38">
        <f>(BB93-BA93)+(BB96-BA96)</f>
        <v/>
      </c>
      <c r="BC117" s="38">
        <f>(BC93-BB93)+(BC96-BB96)</f>
        <v/>
      </c>
      <c r="BD117" s="38">
        <f>(BD93-BC93)+(BD96-BC96)</f>
        <v/>
      </c>
      <c r="BE117" s="38">
        <f>(BE93-BD93)+(BE96-BD96)</f>
        <v/>
      </c>
      <c r="BF117" s="38">
        <f>(BF93-BE93)+(BF96-BE96)</f>
        <v/>
      </c>
      <c r="BG117" s="38">
        <f>(BG93-BF93)+(BG96-BF96)</f>
        <v/>
      </c>
      <c r="BH117" s="37">
        <f>(BH93-BG93)+(BH96-BG96)</f>
        <v/>
      </c>
      <c r="BI117" s="37">
        <f>(BI93-BH93)+(BI96-BH96)</f>
        <v/>
      </c>
      <c r="BJ117" s="37">
        <f>(BJ93-BI93)+(BJ96-BI96)</f>
        <v/>
      </c>
      <c r="BK117" s="37">
        <f>(BK93-BJ93)+(BK96-BJ96)</f>
        <v/>
      </c>
      <c r="BL117" s="37">
        <f>(BL93-BK93)+(BL96-BK96)</f>
        <v/>
      </c>
      <c r="BM117" s="37">
        <f>(BM93-BL93)+(BM96-BL96)</f>
        <v/>
      </c>
      <c r="BN117" s="37">
        <f>(BN93-BM93)+(BN96-BM96)</f>
        <v/>
      </c>
      <c r="BO117" s="37">
        <f>(BO93-BN93)+(BO96-BN96)</f>
        <v/>
      </c>
      <c r="BP117" s="37">
        <f>(BP93-BO93)+(BP96-BO96)</f>
        <v/>
      </c>
      <c r="BQ117" s="37">
        <f>(BQ93-BP93)+(BQ96-BP96)</f>
        <v/>
      </c>
      <c r="BR117" s="30" t="inlineStr">
        <is>
          <t>ΔST+ΔLT。</t>
        </is>
      </c>
    </row>
    <row r="118">
      <c r="A118" s="4" t="inlineStr">
        <is>
          <t>CF</t>
        </is>
      </c>
      <c r="B118" s="7" t="inlineStr">
        <is>
          <t>Equity issuance / other financing</t>
        </is>
      </c>
      <c r="C118" s="4" t="inlineStr">
        <is>
          <t>$000</t>
        </is>
      </c>
      <c r="D118" s="35" t="n">
        <v>-670</v>
      </c>
      <c r="E118" s="35" t="n">
        <v>347021</v>
      </c>
      <c r="F118" s="35" t="n">
        <v>-93784</v>
      </c>
      <c r="G118" s="35" t="n">
        <v>-53383</v>
      </c>
      <c r="H118" s="35" t="n">
        <v>159649</v>
      </c>
      <c r="I118" s="35" t="n">
        <v>-91903</v>
      </c>
      <c r="J118" s="35" t="n">
        <v>-240401</v>
      </c>
      <c r="K118" s="35" t="n">
        <v>-26356</v>
      </c>
      <c r="L118" s="35" t="n">
        <v>1286</v>
      </c>
      <c r="M118" s="35" t="n">
        <v>-18659</v>
      </c>
      <c r="N118" s="36">
        <f>BF118+BG118+BH118+BI118</f>
        <v/>
      </c>
      <c r="O118" s="37">
        <f>BJ118+BK118+BL118+BM118</f>
        <v/>
      </c>
      <c r="P118" s="37">
        <f>BN118+BO118+BP118+BQ118</f>
        <v/>
      </c>
      <c r="R118" s="35" t="n">
        <v>0</v>
      </c>
      <c r="S118" s="38">
        <f>S99-R99-S107</f>
        <v/>
      </c>
      <c r="T118" s="38">
        <f>T99-S99-T107</f>
        <v/>
      </c>
      <c r="U118" s="38">
        <f>U99-T99-U107</f>
        <v/>
      </c>
      <c r="V118" s="38">
        <f>V99-U99-V107</f>
        <v/>
      </c>
      <c r="W118" s="38">
        <f>W99-V99-W107</f>
        <v/>
      </c>
      <c r="X118" s="38">
        <f>X99-W99-X107</f>
        <v/>
      </c>
      <c r="Y118" s="38">
        <f>Y99-X99-Y107</f>
        <v/>
      </c>
      <c r="Z118" s="38">
        <f>Z99-Y99-Z107</f>
        <v/>
      </c>
      <c r="AA118" s="38">
        <f>AA99-Z99-AA107</f>
        <v/>
      </c>
      <c r="AB118" s="38">
        <f>AB99-AA99-AB107</f>
        <v/>
      </c>
      <c r="AC118" s="38">
        <f>AC99-AB99-AC107</f>
        <v/>
      </c>
      <c r="AD118" s="38">
        <f>AD99-AC99-AD107</f>
        <v/>
      </c>
      <c r="AE118" s="38">
        <f>AE99-AD99-AE107</f>
        <v/>
      </c>
      <c r="AF118" s="38">
        <f>AF99-AE99-AF107</f>
        <v/>
      </c>
      <c r="AG118" s="38">
        <f>AG99-AF99-AG107</f>
        <v/>
      </c>
      <c r="AH118" s="38">
        <f>AH99-AG99-AH107</f>
        <v/>
      </c>
      <c r="AI118" s="38">
        <f>AI99-AH99-AI107</f>
        <v/>
      </c>
      <c r="AJ118" s="38">
        <f>AJ99-AI99-AJ107</f>
        <v/>
      </c>
      <c r="AK118" s="38">
        <f>AK99-AJ99-AK107</f>
        <v/>
      </c>
      <c r="AL118" s="38">
        <f>AL99-AK99-AL107</f>
        <v/>
      </c>
      <c r="AM118" s="38">
        <f>AM99-AL99-AM107</f>
        <v/>
      </c>
      <c r="AN118" s="38">
        <f>AN99-AM99-AN107</f>
        <v/>
      </c>
      <c r="AO118" s="38">
        <f>AO99-AN99-AO107</f>
        <v/>
      </c>
      <c r="AP118" s="38">
        <f>AP99-AO99-AP107</f>
        <v/>
      </c>
      <c r="AQ118" s="38">
        <f>AQ99-AP99-AQ107</f>
        <v/>
      </c>
      <c r="AR118" s="38">
        <f>AR99-AQ99-AR107</f>
        <v/>
      </c>
      <c r="AS118" s="38">
        <f>AS99-AR99-AS107</f>
        <v/>
      </c>
      <c r="AT118" s="38">
        <f>AT99-AS99-AT107</f>
        <v/>
      </c>
      <c r="AU118" s="38">
        <f>AU99-AT99-AU107</f>
        <v/>
      </c>
      <c r="AV118" s="38">
        <f>AV99-AU99-AV107</f>
        <v/>
      </c>
      <c r="AW118" s="38">
        <f>AW99-AV99-AW107</f>
        <v/>
      </c>
      <c r="AX118" s="38">
        <f>AX99-AW99-AX107</f>
        <v/>
      </c>
      <c r="AY118" s="38">
        <f>AY99-AX99-AY107</f>
        <v/>
      </c>
      <c r="AZ118" s="38">
        <f>AZ99-AY99-AZ107</f>
        <v/>
      </c>
      <c r="BA118" s="38">
        <f>BA99-AZ99-BA107</f>
        <v/>
      </c>
      <c r="BB118" s="38">
        <f>BB99-BA99-BB107</f>
        <v/>
      </c>
      <c r="BC118" s="38">
        <f>BC99-BB99-BC107</f>
        <v/>
      </c>
      <c r="BD118" s="38">
        <f>BD99-BC99-BD107</f>
        <v/>
      </c>
      <c r="BE118" s="38">
        <f>BE99-BD99-BE107</f>
        <v/>
      </c>
      <c r="BF118" s="38">
        <f>BF99-BE99-BF107</f>
        <v/>
      </c>
      <c r="BG118" s="38">
        <f>BG99-BF99-BG107</f>
        <v/>
      </c>
      <c r="BH118" s="43" t="n">
        <v>0</v>
      </c>
      <c r="BI118" s="43" t="n">
        <v>0</v>
      </c>
      <c r="BJ118" s="43" t="n">
        <v>0</v>
      </c>
      <c r="BK118" s="43" t="n">
        <v>0</v>
      </c>
      <c r="BL118" s="43" t="n">
        <v>0</v>
      </c>
      <c r="BM118" s="43" t="n">
        <v>0</v>
      </c>
      <c r="BN118" s="43" t="n">
        <v>0</v>
      </c>
      <c r="BO118" s="43" t="n">
        <v>0</v>
      </c>
      <c r="BP118" s="43" t="n">
        <v>0</v>
      </c>
      <c r="BQ118" s="43" t="n">
        <v>0</v>
      </c>
      <c r="BR118" s="30" t="inlineStr">
        <is>
          <t>股权融资及其他。历史用CFF残差。预测0。</t>
        </is>
      </c>
    </row>
    <row r="119">
      <c r="A119" s="4" t="inlineStr">
        <is>
          <t>CF</t>
        </is>
      </c>
      <c r="B119" s="5" t="inlineStr">
        <is>
          <t>Cash from financing (CFF)</t>
        </is>
      </c>
      <c r="C119" s="4" t="inlineStr">
        <is>
          <t>$000</t>
        </is>
      </c>
      <c r="D119" s="42">
        <f>D117+D118</f>
        <v/>
      </c>
      <c r="E119" s="42">
        <f>E117+E118</f>
        <v/>
      </c>
      <c r="F119" s="42">
        <f>F117+F118</f>
        <v/>
      </c>
      <c r="G119" s="42">
        <f>G117+G118</f>
        <v/>
      </c>
      <c r="H119" s="42">
        <f>H117+H118</f>
        <v/>
      </c>
      <c r="I119" s="42">
        <f>I117+I118</f>
        <v/>
      </c>
      <c r="J119" s="42">
        <f>J117+J118</f>
        <v/>
      </c>
      <c r="K119" s="42">
        <f>K117+K118</f>
        <v/>
      </c>
      <c r="L119" s="42">
        <f>L117+L118</f>
        <v/>
      </c>
      <c r="M119" s="42">
        <f>M117+M118</f>
        <v/>
      </c>
      <c r="N119" s="42">
        <f>BF119+BG119+BH119+BI119</f>
        <v/>
      </c>
      <c r="O119" s="42">
        <f>BJ119+BK119+BL119+BM119</f>
        <v/>
      </c>
      <c r="P119" s="42">
        <f>BN119+BO119+BP119+BQ119</f>
        <v/>
      </c>
      <c r="R119" s="42">
        <f>R117+R118</f>
        <v/>
      </c>
      <c r="S119" s="42">
        <f>S117+S118</f>
        <v/>
      </c>
      <c r="T119" s="42">
        <f>T117+T118</f>
        <v/>
      </c>
      <c r="U119" s="42">
        <f>U117+U118</f>
        <v/>
      </c>
      <c r="V119" s="42">
        <f>V117+V118</f>
        <v/>
      </c>
      <c r="W119" s="42">
        <f>W117+W118</f>
        <v/>
      </c>
      <c r="X119" s="42">
        <f>X117+X118</f>
        <v/>
      </c>
      <c r="Y119" s="42">
        <f>Y117+Y118</f>
        <v/>
      </c>
      <c r="Z119" s="42">
        <f>Z117+Z118</f>
        <v/>
      </c>
      <c r="AA119" s="42">
        <f>AA117+AA118</f>
        <v/>
      </c>
      <c r="AB119" s="42">
        <f>AB117+AB118</f>
        <v/>
      </c>
      <c r="AC119" s="42">
        <f>AC117+AC118</f>
        <v/>
      </c>
      <c r="AD119" s="42">
        <f>AD117+AD118</f>
        <v/>
      </c>
      <c r="AE119" s="42">
        <f>AE117+AE118</f>
        <v/>
      </c>
      <c r="AF119" s="42">
        <f>AF117+AF118</f>
        <v/>
      </c>
      <c r="AG119" s="42">
        <f>AG117+AG118</f>
        <v/>
      </c>
      <c r="AH119" s="42">
        <f>AH117+AH118</f>
        <v/>
      </c>
      <c r="AI119" s="42">
        <f>AI117+AI118</f>
        <v/>
      </c>
      <c r="AJ119" s="42">
        <f>AJ117+AJ118</f>
        <v/>
      </c>
      <c r="AK119" s="42">
        <f>AK117+AK118</f>
        <v/>
      </c>
      <c r="AL119" s="42">
        <f>AL117+AL118</f>
        <v/>
      </c>
      <c r="AM119" s="42">
        <f>AM117+AM118</f>
        <v/>
      </c>
      <c r="AN119" s="42">
        <f>AN117+AN118</f>
        <v/>
      </c>
      <c r="AO119" s="42">
        <f>AO117+AO118</f>
        <v/>
      </c>
      <c r="AP119" s="42">
        <f>AP117+AP118</f>
        <v/>
      </c>
      <c r="AQ119" s="42">
        <f>AQ117+AQ118</f>
        <v/>
      </c>
      <c r="AR119" s="42">
        <f>AR117+AR118</f>
        <v/>
      </c>
      <c r="AS119" s="42">
        <f>AS117+AS118</f>
        <v/>
      </c>
      <c r="AT119" s="42">
        <f>AT117+AT118</f>
        <v/>
      </c>
      <c r="AU119" s="42">
        <f>AU117+AU118</f>
        <v/>
      </c>
      <c r="AV119" s="42">
        <f>AV117+AV118</f>
        <v/>
      </c>
      <c r="AW119" s="42">
        <f>AW117+AW118</f>
        <v/>
      </c>
      <c r="AX119" s="42">
        <f>AX117+AX118</f>
        <v/>
      </c>
      <c r="AY119" s="42">
        <f>AY117+AY118</f>
        <v/>
      </c>
      <c r="AZ119" s="42">
        <f>AZ117+AZ118</f>
        <v/>
      </c>
      <c r="BA119" s="42">
        <f>BA117+BA118</f>
        <v/>
      </c>
      <c r="BB119" s="42">
        <f>BB117+BB118</f>
        <v/>
      </c>
      <c r="BC119" s="42">
        <f>BC117+BC118</f>
        <v/>
      </c>
      <c r="BD119" s="42">
        <f>BD117+BD118</f>
        <v/>
      </c>
      <c r="BE119" s="42">
        <f>BE117+BE118</f>
        <v/>
      </c>
      <c r="BF119" s="42">
        <f>BF117+BF118</f>
        <v/>
      </c>
      <c r="BG119" s="42">
        <f>BG117+BG118</f>
        <v/>
      </c>
      <c r="BH119" s="42">
        <f>BH117+BH118</f>
        <v/>
      </c>
      <c r="BI119" s="42">
        <f>BI117+BI118</f>
        <v/>
      </c>
      <c r="BJ119" s="42">
        <f>BJ117+BJ118</f>
        <v/>
      </c>
      <c r="BK119" s="42">
        <f>BK117+BK118</f>
        <v/>
      </c>
      <c r="BL119" s="42">
        <f>BL117+BL118</f>
        <v/>
      </c>
      <c r="BM119" s="42">
        <f>BM117+BM118</f>
        <v/>
      </c>
      <c r="BN119" s="42">
        <f>BN117+BN118</f>
        <v/>
      </c>
      <c r="BO119" s="42">
        <f>BO117+BO118</f>
        <v/>
      </c>
      <c r="BP119" s="42">
        <f>BP117+BP118</f>
        <v/>
      </c>
      <c r="BQ119" s="42">
        <f>BQ117+BQ118</f>
        <v/>
      </c>
      <c r="BR119" s="30" t="inlineStr">
        <is>
          <t>筹资活动现金流。</t>
        </is>
      </c>
    </row>
    <row r="120">
      <c r="A120" s="4" t="inlineStr">
        <is>
          <t>CF</t>
        </is>
      </c>
      <c r="B120" s="7" t="inlineStr">
        <is>
          <t>FX / other plug to roll cash (historical)</t>
        </is>
      </c>
      <c r="C120" s="4" t="inlineStr">
        <is>
          <t>$000</t>
        </is>
      </c>
      <c r="D120" s="35" t="n">
        <v>0</v>
      </c>
      <c r="E120" s="35" t="n">
        <v>0</v>
      </c>
      <c r="F120" s="35" t="n">
        <v>0</v>
      </c>
      <c r="G120" s="35" t="n">
        <v>934</v>
      </c>
      <c r="H120" s="35" t="n">
        <v>-1039</v>
      </c>
      <c r="I120" s="35" t="n">
        <v>-2869</v>
      </c>
      <c r="J120" s="35" t="n">
        <v>56</v>
      </c>
      <c r="K120" s="35" t="n">
        <v>-1082</v>
      </c>
      <c r="L120" s="35" t="n">
        <v>-1298</v>
      </c>
      <c r="M120" s="35" t="n">
        <v>644</v>
      </c>
      <c r="N120" s="36">
        <f>BF120+BG120+BH120+BI120</f>
        <v/>
      </c>
      <c r="O120" s="37">
        <f>BJ120+BK120+BL120+BM120</f>
        <v/>
      </c>
      <c r="P120" s="37">
        <f>BN120+BO120+BP120+BQ120</f>
        <v/>
      </c>
      <c r="R120" s="38">
        <f>R82-(R122+R113+R116+R119)</f>
        <v/>
      </c>
      <c r="S120" s="38">
        <f>S82-(S122+S113+S116+S119)</f>
        <v/>
      </c>
      <c r="T120" s="38">
        <f>T82-(T122+T113+T116+T119)</f>
        <v/>
      </c>
      <c r="U120" s="38">
        <f>U82-(U122+U113+U116+U119)</f>
        <v/>
      </c>
      <c r="V120" s="38">
        <f>V82-(V122+V113+V116+V119)</f>
        <v/>
      </c>
      <c r="W120" s="38">
        <f>W82-(W122+W113+W116+W119)</f>
        <v/>
      </c>
      <c r="X120" s="38">
        <f>X82-(X122+X113+X116+X119)</f>
        <v/>
      </c>
      <c r="Y120" s="38">
        <f>Y82-(Y122+Y113+Y116+Y119)</f>
        <v/>
      </c>
      <c r="Z120" s="38">
        <f>Z82-(Z122+Z113+Z116+Z119)</f>
        <v/>
      </c>
      <c r="AA120" s="38">
        <f>AA82-(AA122+AA113+AA116+AA119)</f>
        <v/>
      </c>
      <c r="AB120" s="38">
        <f>AB82-(AB122+AB113+AB116+AB119)</f>
        <v/>
      </c>
      <c r="AC120" s="38">
        <f>AC82-(AC122+AC113+AC116+AC119)</f>
        <v/>
      </c>
      <c r="AD120" s="38">
        <f>AD82-(AD122+AD113+AD116+AD119)</f>
        <v/>
      </c>
      <c r="AE120" s="38">
        <f>AE82-(AE122+AE113+AE116+AE119)</f>
        <v/>
      </c>
      <c r="AF120" s="38">
        <f>AF82-(AF122+AF113+AF116+AF119)</f>
        <v/>
      </c>
      <c r="AG120" s="38">
        <f>AG82-(AG122+AG113+AG116+AG119)</f>
        <v/>
      </c>
      <c r="AH120" s="38">
        <f>AH82-(AH122+AH113+AH116+AH119)</f>
        <v/>
      </c>
      <c r="AI120" s="38">
        <f>AI82-(AI122+AI113+AI116+AI119)</f>
        <v/>
      </c>
      <c r="AJ120" s="38">
        <f>AJ82-(AJ122+AJ113+AJ116+AJ119)</f>
        <v/>
      </c>
      <c r="AK120" s="38">
        <f>AK82-(AK122+AK113+AK116+AK119)</f>
        <v/>
      </c>
      <c r="AL120" s="38">
        <f>AL82-(AL122+AL113+AL116+AL119)</f>
        <v/>
      </c>
      <c r="AM120" s="38">
        <f>AM82-(AM122+AM113+AM116+AM119)</f>
        <v/>
      </c>
      <c r="AN120" s="38">
        <f>AN82-(AN122+AN113+AN116+AN119)</f>
        <v/>
      </c>
      <c r="AO120" s="38">
        <f>AO82-(AO122+AO113+AO116+AO119)</f>
        <v/>
      </c>
      <c r="AP120" s="38">
        <f>AP82-(AP122+AP113+AP116+AP119)</f>
        <v/>
      </c>
      <c r="AQ120" s="38">
        <f>AQ82-(AQ122+AQ113+AQ116+AQ119)</f>
        <v/>
      </c>
      <c r="AR120" s="38">
        <f>AR82-(AR122+AR113+AR116+AR119)</f>
        <v/>
      </c>
      <c r="AS120" s="38">
        <f>AS82-(AS122+AS113+AS116+AS119)</f>
        <v/>
      </c>
      <c r="AT120" s="38">
        <f>AT82-(AT122+AT113+AT116+AT119)</f>
        <v/>
      </c>
      <c r="AU120" s="38">
        <f>AU82-(AU122+AU113+AU116+AU119)</f>
        <v/>
      </c>
      <c r="AV120" s="38">
        <f>AV82-(AV122+AV113+AV116+AV119)</f>
        <v/>
      </c>
      <c r="AW120" s="38">
        <f>AW82-(AW122+AW113+AW116+AW119)</f>
        <v/>
      </c>
      <c r="AX120" s="38">
        <f>AX82-(AX122+AX113+AX116+AX119)</f>
        <v/>
      </c>
      <c r="AY120" s="38">
        <f>AY82-(AY122+AY113+AY116+AY119)</f>
        <v/>
      </c>
      <c r="AZ120" s="38">
        <f>AZ82-(AZ122+AZ113+AZ116+AZ119)</f>
        <v/>
      </c>
      <c r="BA120" s="38">
        <f>BA82-(BA122+BA113+BA116+BA119)</f>
        <v/>
      </c>
      <c r="BB120" s="38">
        <f>BB82-(BB122+BB113+BB116+BB119)</f>
        <v/>
      </c>
      <c r="BC120" s="38">
        <f>BC82-(BC122+BC113+BC116+BC119)</f>
        <v/>
      </c>
      <c r="BD120" s="38">
        <f>BD82-(BD122+BD113+BD116+BD119)</f>
        <v/>
      </c>
      <c r="BE120" s="38">
        <f>BE82-(BE122+BE113+BE116+BE119)</f>
        <v/>
      </c>
      <c r="BF120" s="38">
        <f>BF82-(BF122+BF113+BF116+BF119)</f>
        <v/>
      </c>
      <c r="BG120" s="38">
        <f>BG82-(BG122+BG113+BG116+BG119)</f>
        <v/>
      </c>
      <c r="BH120" s="43" t="n">
        <v>0</v>
      </c>
      <c r="BI120" s="43" t="n">
        <v>0</v>
      </c>
      <c r="BJ120" s="43" t="n">
        <v>0</v>
      </c>
      <c r="BK120" s="43" t="n">
        <v>0</v>
      </c>
      <c r="BL120" s="43" t="n">
        <v>0</v>
      </c>
      <c r="BM120" s="43" t="n">
        <v>0</v>
      </c>
      <c r="BN120" s="43" t="n">
        <v>0</v>
      </c>
      <c r="BO120" s="43" t="n">
        <v>0</v>
      </c>
      <c r="BP120" s="43" t="n">
        <v>0</v>
      </c>
      <c r="BQ120" s="43" t="n">
        <v>0</v>
      </c>
      <c r="BR120" s="30" t="inlineStr">
        <is>
          <t>历史：使现金滚动至BS现金（含受限现金口径差）。预测0。</t>
        </is>
      </c>
    </row>
    <row r="121">
      <c r="A121" s="4" t="inlineStr">
        <is>
          <t>CF</t>
        </is>
      </c>
      <c r="B121" s="5" t="inlineStr">
        <is>
          <t>Net change in cash</t>
        </is>
      </c>
      <c r="C121" s="4" t="inlineStr">
        <is>
          <t>$000</t>
        </is>
      </c>
      <c r="D121" s="42">
        <f>D113+D116+D119+D120</f>
        <v/>
      </c>
      <c r="E121" s="42">
        <f>E113+E116+E119+E120</f>
        <v/>
      </c>
      <c r="F121" s="42">
        <f>F113+F116+F119+F120</f>
        <v/>
      </c>
      <c r="G121" s="42">
        <f>G113+G116+G119+G120</f>
        <v/>
      </c>
      <c r="H121" s="42">
        <f>H113+H116+H119+H120</f>
        <v/>
      </c>
      <c r="I121" s="42">
        <f>I113+I116+I119+I120</f>
        <v/>
      </c>
      <c r="J121" s="42">
        <f>J113+J116+J119+J120</f>
        <v/>
      </c>
      <c r="K121" s="42">
        <f>K113+K116+K119+K120</f>
        <v/>
      </c>
      <c r="L121" s="42">
        <f>L113+L116+L119+L120</f>
        <v/>
      </c>
      <c r="M121" s="42">
        <f>M113+M116+M119+M120</f>
        <v/>
      </c>
      <c r="N121" s="42">
        <f>BF121+BG121+BH121+BI121</f>
        <v/>
      </c>
      <c r="O121" s="42">
        <f>BJ121+BK121+BL121+BM121</f>
        <v/>
      </c>
      <c r="P121" s="42">
        <f>BN121+BO121+BP121+BQ121</f>
        <v/>
      </c>
      <c r="R121" s="42">
        <f>R113+R116+R119+R120</f>
        <v/>
      </c>
      <c r="S121" s="42">
        <f>S113+S116+S119+S120</f>
        <v/>
      </c>
      <c r="T121" s="42">
        <f>T113+T116+T119+T120</f>
        <v/>
      </c>
      <c r="U121" s="42">
        <f>U113+U116+U119+U120</f>
        <v/>
      </c>
      <c r="V121" s="42">
        <f>V113+V116+V119+V120</f>
        <v/>
      </c>
      <c r="W121" s="42">
        <f>W113+W116+W119+W120</f>
        <v/>
      </c>
      <c r="X121" s="42">
        <f>X113+X116+X119+X120</f>
        <v/>
      </c>
      <c r="Y121" s="42">
        <f>Y113+Y116+Y119+Y120</f>
        <v/>
      </c>
      <c r="Z121" s="42">
        <f>Z113+Z116+Z119+Z120</f>
        <v/>
      </c>
      <c r="AA121" s="42">
        <f>AA113+AA116+AA119+AA120</f>
        <v/>
      </c>
      <c r="AB121" s="42">
        <f>AB113+AB116+AB119+AB120</f>
        <v/>
      </c>
      <c r="AC121" s="42">
        <f>AC113+AC116+AC119+AC120</f>
        <v/>
      </c>
      <c r="AD121" s="42">
        <f>AD113+AD116+AD119+AD120</f>
        <v/>
      </c>
      <c r="AE121" s="42">
        <f>AE113+AE116+AE119+AE120</f>
        <v/>
      </c>
      <c r="AF121" s="42">
        <f>AF113+AF116+AF119+AF120</f>
        <v/>
      </c>
      <c r="AG121" s="42">
        <f>AG113+AG116+AG119+AG120</f>
        <v/>
      </c>
      <c r="AH121" s="42">
        <f>AH113+AH116+AH119+AH120</f>
        <v/>
      </c>
      <c r="AI121" s="42">
        <f>AI113+AI116+AI119+AI120</f>
        <v/>
      </c>
      <c r="AJ121" s="42">
        <f>AJ113+AJ116+AJ119+AJ120</f>
        <v/>
      </c>
      <c r="AK121" s="42">
        <f>AK113+AK116+AK119+AK120</f>
        <v/>
      </c>
      <c r="AL121" s="42">
        <f>AL113+AL116+AL119+AL120</f>
        <v/>
      </c>
      <c r="AM121" s="42">
        <f>AM113+AM116+AM119+AM120</f>
        <v/>
      </c>
      <c r="AN121" s="42">
        <f>AN113+AN116+AN119+AN120</f>
        <v/>
      </c>
      <c r="AO121" s="42">
        <f>AO113+AO116+AO119+AO120</f>
        <v/>
      </c>
      <c r="AP121" s="42">
        <f>AP113+AP116+AP119+AP120</f>
        <v/>
      </c>
      <c r="AQ121" s="42">
        <f>AQ113+AQ116+AQ119+AQ120</f>
        <v/>
      </c>
      <c r="AR121" s="42">
        <f>AR113+AR116+AR119+AR120</f>
        <v/>
      </c>
      <c r="AS121" s="42">
        <f>AS113+AS116+AS119+AS120</f>
        <v/>
      </c>
      <c r="AT121" s="42">
        <f>AT113+AT116+AT119+AT120</f>
        <v/>
      </c>
      <c r="AU121" s="42">
        <f>AU113+AU116+AU119+AU120</f>
        <v/>
      </c>
      <c r="AV121" s="42">
        <f>AV113+AV116+AV119+AV120</f>
        <v/>
      </c>
      <c r="AW121" s="42">
        <f>AW113+AW116+AW119+AW120</f>
        <v/>
      </c>
      <c r="AX121" s="42">
        <f>AX113+AX116+AX119+AX120</f>
        <v/>
      </c>
      <c r="AY121" s="42">
        <f>AY113+AY116+AY119+AY120</f>
        <v/>
      </c>
      <c r="AZ121" s="42">
        <f>AZ113+AZ116+AZ119+AZ120</f>
        <v/>
      </c>
      <c r="BA121" s="42">
        <f>BA113+BA116+BA119+BA120</f>
        <v/>
      </c>
      <c r="BB121" s="42">
        <f>BB113+BB116+BB119+BB120</f>
        <v/>
      </c>
      <c r="BC121" s="42">
        <f>BC113+BC116+BC119+BC120</f>
        <v/>
      </c>
      <c r="BD121" s="42">
        <f>BD113+BD116+BD119+BD120</f>
        <v/>
      </c>
      <c r="BE121" s="42">
        <f>BE113+BE116+BE119+BE120</f>
        <v/>
      </c>
      <c r="BF121" s="42">
        <f>BF113+BF116+BF119+BF120</f>
        <v/>
      </c>
      <c r="BG121" s="42">
        <f>BG113+BG116+BG119+BG120</f>
        <v/>
      </c>
      <c r="BH121" s="42">
        <f>BH113+BH116+BH119+BH120</f>
        <v/>
      </c>
      <c r="BI121" s="42">
        <f>BI113+BI116+BI119+BI120</f>
        <v/>
      </c>
      <c r="BJ121" s="42">
        <f>BJ113+BJ116+BJ119+BJ120</f>
        <v/>
      </c>
      <c r="BK121" s="42">
        <f>BK113+BK116+BK119+BK120</f>
        <v/>
      </c>
      <c r="BL121" s="42">
        <f>BL113+BL116+BL119+BL120</f>
        <v/>
      </c>
      <c r="BM121" s="42">
        <f>BM113+BM116+BM119+BM120</f>
        <v/>
      </c>
      <c r="BN121" s="42">
        <f>BN113+BN116+BN119+BN120</f>
        <v/>
      </c>
      <c r="BO121" s="42">
        <f>BO113+BO116+BO119+BO120</f>
        <v/>
      </c>
      <c r="BP121" s="42">
        <f>BP113+BP116+BP119+BP120</f>
        <v/>
      </c>
      <c r="BQ121" s="42">
        <f>BQ113+BQ116+BQ119+BQ120</f>
        <v/>
      </c>
      <c r="BR121" s="30" t="inlineStr">
        <is>
          <t>CFO+CFI+CFF+FX。</t>
        </is>
      </c>
    </row>
    <row r="122">
      <c r="A122" s="4" t="inlineStr">
        <is>
          <t>CF</t>
        </is>
      </c>
      <c r="B122" s="7" t="inlineStr">
        <is>
          <t>Opening cash</t>
        </is>
      </c>
      <c r="C122" s="4" t="inlineStr">
        <is>
          <t>$000</t>
        </is>
      </c>
      <c r="D122" s="35" t="n">
        <v>65752</v>
      </c>
      <c r="E122" s="38">
        <f>D82</f>
        <v/>
      </c>
      <c r="F122" s="38">
        <f>E82</f>
        <v/>
      </c>
      <c r="G122" s="38">
        <f>F82</f>
        <v/>
      </c>
      <c r="H122" s="38">
        <f>G82</f>
        <v/>
      </c>
      <c r="I122" s="38">
        <f>H82</f>
        <v/>
      </c>
      <c r="J122" s="38">
        <f>I82</f>
        <v/>
      </c>
      <c r="K122" s="38">
        <f>J82</f>
        <v/>
      </c>
      <c r="L122" s="38">
        <f>K82</f>
        <v/>
      </c>
      <c r="M122" s="38">
        <f>L82</f>
        <v/>
      </c>
      <c r="N122" s="36">
        <f>BF122</f>
        <v/>
      </c>
      <c r="O122" s="37">
        <f>BJ122</f>
        <v/>
      </c>
      <c r="P122" s="37">
        <f>BN122</f>
        <v/>
      </c>
      <c r="R122" s="35" t="n">
        <v>68000</v>
      </c>
      <c r="S122" s="38">
        <f>R82</f>
        <v/>
      </c>
      <c r="T122" s="38">
        <f>S82</f>
        <v/>
      </c>
      <c r="U122" s="38">
        <f>T82</f>
        <v/>
      </c>
      <c r="V122" s="38">
        <f>U82</f>
        <v/>
      </c>
      <c r="W122" s="38">
        <f>V82</f>
        <v/>
      </c>
      <c r="X122" s="38">
        <f>W82</f>
        <v/>
      </c>
      <c r="Y122" s="38">
        <f>X82</f>
        <v/>
      </c>
      <c r="Z122" s="38">
        <f>Y82</f>
        <v/>
      </c>
      <c r="AA122" s="38">
        <f>Z82</f>
        <v/>
      </c>
      <c r="AB122" s="38">
        <f>AA82</f>
        <v/>
      </c>
      <c r="AC122" s="38">
        <f>AB82</f>
        <v/>
      </c>
      <c r="AD122" s="38">
        <f>AC82</f>
        <v/>
      </c>
      <c r="AE122" s="38">
        <f>AD82</f>
        <v/>
      </c>
      <c r="AF122" s="38">
        <f>AE82</f>
        <v/>
      </c>
      <c r="AG122" s="38">
        <f>AF82</f>
        <v/>
      </c>
      <c r="AH122" s="38">
        <f>AG82</f>
        <v/>
      </c>
      <c r="AI122" s="38">
        <f>AH82</f>
        <v/>
      </c>
      <c r="AJ122" s="38">
        <f>AI82</f>
        <v/>
      </c>
      <c r="AK122" s="38">
        <f>AJ82</f>
        <v/>
      </c>
      <c r="AL122" s="38">
        <f>AK82</f>
        <v/>
      </c>
      <c r="AM122" s="38">
        <f>AL82</f>
        <v/>
      </c>
      <c r="AN122" s="38">
        <f>AM82</f>
        <v/>
      </c>
      <c r="AO122" s="38">
        <f>AN82</f>
        <v/>
      </c>
      <c r="AP122" s="38">
        <f>AO82</f>
        <v/>
      </c>
      <c r="AQ122" s="38">
        <f>AP82</f>
        <v/>
      </c>
      <c r="AR122" s="38">
        <f>AQ82</f>
        <v/>
      </c>
      <c r="AS122" s="38">
        <f>AR82</f>
        <v/>
      </c>
      <c r="AT122" s="38">
        <f>AS82</f>
        <v/>
      </c>
      <c r="AU122" s="38">
        <f>AT82</f>
        <v/>
      </c>
      <c r="AV122" s="38">
        <f>AU82</f>
        <v/>
      </c>
      <c r="AW122" s="38">
        <f>AV82</f>
        <v/>
      </c>
      <c r="AX122" s="38">
        <f>AW82</f>
        <v/>
      </c>
      <c r="AY122" s="38">
        <f>AX82</f>
        <v/>
      </c>
      <c r="AZ122" s="38">
        <f>AY82</f>
        <v/>
      </c>
      <c r="BA122" s="38">
        <f>AZ82</f>
        <v/>
      </c>
      <c r="BB122" s="38">
        <f>BA82</f>
        <v/>
      </c>
      <c r="BC122" s="38">
        <f>BB82</f>
        <v/>
      </c>
      <c r="BD122" s="38">
        <f>BC82</f>
        <v/>
      </c>
      <c r="BE122" s="38">
        <f>BD82</f>
        <v/>
      </c>
      <c r="BF122" s="38">
        <f>BE82</f>
        <v/>
      </c>
      <c r="BG122" s="38">
        <f>BF82</f>
        <v/>
      </c>
      <c r="BH122" s="37">
        <f>BG82</f>
        <v/>
      </c>
      <c r="BI122" s="37">
        <f>BH82</f>
        <v/>
      </c>
      <c r="BJ122" s="37">
        <f>BI82</f>
        <v/>
      </c>
      <c r="BK122" s="37">
        <f>BJ82</f>
        <v/>
      </c>
      <c r="BL122" s="37">
        <f>BK82</f>
        <v/>
      </c>
      <c r="BM122" s="37">
        <f>BL82</f>
        <v/>
      </c>
      <c r="BN122" s="37">
        <f>BM82</f>
        <v/>
      </c>
      <c r="BO122" s="37">
        <f>BN82</f>
        <v/>
      </c>
      <c r="BP122" s="37">
        <f>BO82</f>
        <v/>
      </c>
      <c r="BQ122" s="37">
        <f>BP82</f>
        <v/>
      </c>
      <c r="BR122" s="30" t="inlineStr">
        <is>
          <t>期初现金。</t>
        </is>
      </c>
    </row>
    <row r="123">
      <c r="A123" s="4" t="inlineStr">
        <is>
          <t>CF</t>
        </is>
      </c>
      <c r="B123" s="5" t="inlineStr">
        <is>
          <t>Closing cash (CFS)</t>
        </is>
      </c>
      <c r="C123" s="4" t="inlineStr">
        <is>
          <t>$000</t>
        </is>
      </c>
      <c r="D123" s="42">
        <f>D82</f>
        <v/>
      </c>
      <c r="E123" s="42">
        <f>E82</f>
        <v/>
      </c>
      <c r="F123" s="42">
        <f>F82</f>
        <v/>
      </c>
      <c r="G123" s="42">
        <f>G82</f>
        <v/>
      </c>
      <c r="H123" s="42">
        <f>H82</f>
        <v/>
      </c>
      <c r="I123" s="42">
        <f>I82</f>
        <v/>
      </c>
      <c r="J123" s="42">
        <f>J82</f>
        <v/>
      </c>
      <c r="K123" s="42">
        <f>K82</f>
        <v/>
      </c>
      <c r="L123" s="42">
        <f>L82</f>
        <v/>
      </c>
      <c r="M123" s="42">
        <f>M82</f>
        <v/>
      </c>
      <c r="N123" s="42">
        <f>BI123</f>
        <v/>
      </c>
      <c r="O123" s="42">
        <f>BM123</f>
        <v/>
      </c>
      <c r="P123" s="42">
        <f>BQ123</f>
        <v/>
      </c>
      <c r="R123" s="42">
        <f>R122+R121</f>
        <v/>
      </c>
      <c r="S123" s="42">
        <f>S122+S121</f>
        <v/>
      </c>
      <c r="T123" s="42">
        <f>T122+T121</f>
        <v/>
      </c>
      <c r="U123" s="42">
        <f>U122+U121</f>
        <v/>
      </c>
      <c r="V123" s="42">
        <f>V122+V121</f>
        <v/>
      </c>
      <c r="W123" s="42">
        <f>W122+W121</f>
        <v/>
      </c>
      <c r="X123" s="42">
        <f>X122+X121</f>
        <v/>
      </c>
      <c r="Y123" s="42">
        <f>Y122+Y121</f>
        <v/>
      </c>
      <c r="Z123" s="42">
        <f>Z122+Z121</f>
        <v/>
      </c>
      <c r="AA123" s="42">
        <f>AA122+AA121</f>
        <v/>
      </c>
      <c r="AB123" s="42">
        <f>AB122+AB121</f>
        <v/>
      </c>
      <c r="AC123" s="42">
        <f>AC122+AC121</f>
        <v/>
      </c>
      <c r="AD123" s="42">
        <f>AD122+AD121</f>
        <v/>
      </c>
      <c r="AE123" s="42">
        <f>AE122+AE121</f>
        <v/>
      </c>
      <c r="AF123" s="42">
        <f>AF122+AF121</f>
        <v/>
      </c>
      <c r="AG123" s="42">
        <f>AG122+AG121</f>
        <v/>
      </c>
      <c r="AH123" s="42">
        <f>AH122+AH121</f>
        <v/>
      </c>
      <c r="AI123" s="42">
        <f>AI122+AI121</f>
        <v/>
      </c>
      <c r="AJ123" s="42">
        <f>AJ122+AJ121</f>
        <v/>
      </c>
      <c r="AK123" s="42">
        <f>AK122+AK121</f>
        <v/>
      </c>
      <c r="AL123" s="42">
        <f>AL122+AL121</f>
        <v/>
      </c>
      <c r="AM123" s="42">
        <f>AM122+AM121</f>
        <v/>
      </c>
      <c r="AN123" s="42">
        <f>AN122+AN121</f>
        <v/>
      </c>
      <c r="AO123" s="42">
        <f>AO122+AO121</f>
        <v/>
      </c>
      <c r="AP123" s="42">
        <f>AP122+AP121</f>
        <v/>
      </c>
      <c r="AQ123" s="42">
        <f>AQ122+AQ121</f>
        <v/>
      </c>
      <c r="AR123" s="42">
        <f>AR122+AR121</f>
        <v/>
      </c>
      <c r="AS123" s="42">
        <f>AS122+AS121</f>
        <v/>
      </c>
      <c r="AT123" s="42">
        <f>AT122+AT121</f>
        <v/>
      </c>
      <c r="AU123" s="42">
        <f>AU122+AU121</f>
        <v/>
      </c>
      <c r="AV123" s="42">
        <f>AV122+AV121</f>
        <v/>
      </c>
      <c r="AW123" s="42">
        <f>AW122+AW121</f>
        <v/>
      </c>
      <c r="AX123" s="42">
        <f>AX122+AX121</f>
        <v/>
      </c>
      <c r="AY123" s="42">
        <f>AY122+AY121</f>
        <v/>
      </c>
      <c r="AZ123" s="42">
        <f>AZ122+AZ121</f>
        <v/>
      </c>
      <c r="BA123" s="42">
        <f>BA122+BA121</f>
        <v/>
      </c>
      <c r="BB123" s="42">
        <f>BB122+BB121</f>
        <v/>
      </c>
      <c r="BC123" s="42">
        <f>BC122+BC121</f>
        <v/>
      </c>
      <c r="BD123" s="42">
        <f>BD122+BD121</f>
        <v/>
      </c>
      <c r="BE123" s="42">
        <f>BE122+BE121</f>
        <v/>
      </c>
      <c r="BF123" s="42">
        <f>BF122+BF121</f>
        <v/>
      </c>
      <c r="BG123" s="42">
        <f>BG122+BG121</f>
        <v/>
      </c>
      <c r="BH123" s="42">
        <f>BH122+BH121</f>
        <v/>
      </c>
      <c r="BI123" s="42">
        <f>BI122+BI121</f>
        <v/>
      </c>
      <c r="BJ123" s="42">
        <f>BJ122+BJ121</f>
        <v/>
      </c>
      <c r="BK123" s="42">
        <f>BK122+BK121</f>
        <v/>
      </c>
      <c r="BL123" s="42">
        <f>BL122+BL121</f>
        <v/>
      </c>
      <c r="BM123" s="42">
        <f>BM122+BM121</f>
        <v/>
      </c>
      <c r="BN123" s="42">
        <f>BN122+BN121</f>
        <v/>
      </c>
      <c r="BO123" s="42">
        <f>BO122+BO121</f>
        <v/>
      </c>
      <c r="BP123" s="42">
        <f>BP122+BP121</f>
        <v/>
      </c>
      <c r="BQ123" s="42">
        <f>BQ122+BQ121</f>
        <v/>
      </c>
      <c r="BR123" s="30" t="inlineStr">
        <is>
          <t>期末现金。应等于BS现金。</t>
        </is>
      </c>
    </row>
    <row r="125">
      <c r="A125" s="55" t="inlineStr">
        <is>
          <t>VI.  INTEGRITY CHECKS  （三表配平 / 勾稽，目标=0）</t>
        </is>
      </c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</row>
    <row r="126">
      <c r="A126" s="4" t="inlineStr">
        <is>
          <t>Check</t>
        </is>
      </c>
      <c r="B126" s="7" t="inlineStr">
        <is>
          <t>BS: Assets − (Liabilities + Equity)</t>
        </is>
      </c>
      <c r="C126" s="4" t="inlineStr">
        <is>
          <t>$000</t>
        </is>
      </c>
      <c r="D126" s="56">
        <f>D91-D102</f>
        <v/>
      </c>
      <c r="E126" s="56">
        <f>E91-E102</f>
        <v/>
      </c>
      <c r="F126" s="56">
        <f>F91-F102</f>
        <v/>
      </c>
      <c r="G126" s="56">
        <f>G91-G102</f>
        <v/>
      </c>
      <c r="H126" s="56">
        <f>H91-H102</f>
        <v/>
      </c>
      <c r="I126" s="56">
        <f>I91-I102</f>
        <v/>
      </c>
      <c r="J126" s="56">
        <f>J91-J102</f>
        <v/>
      </c>
      <c r="K126" s="56">
        <f>K91-K102</f>
        <v/>
      </c>
      <c r="L126" s="56">
        <f>L91-L102</f>
        <v/>
      </c>
      <c r="M126" s="56">
        <f>M91-M102</f>
        <v/>
      </c>
      <c r="N126" s="56">
        <f>N91-N102</f>
        <v/>
      </c>
      <c r="O126" s="56">
        <f>O91-O102</f>
        <v/>
      </c>
      <c r="P126" s="56">
        <f>P91-P102</f>
        <v/>
      </c>
      <c r="R126" s="56">
        <f>R91-R102</f>
        <v/>
      </c>
      <c r="S126" s="56">
        <f>S91-S102</f>
        <v/>
      </c>
      <c r="T126" s="56">
        <f>T91-T102</f>
        <v/>
      </c>
      <c r="U126" s="56">
        <f>U91-U102</f>
        <v/>
      </c>
      <c r="V126" s="56">
        <f>V91-V102</f>
        <v/>
      </c>
      <c r="W126" s="56">
        <f>W91-W102</f>
        <v/>
      </c>
      <c r="X126" s="56">
        <f>X91-X102</f>
        <v/>
      </c>
      <c r="Y126" s="56">
        <f>Y91-Y102</f>
        <v/>
      </c>
      <c r="Z126" s="56">
        <f>Z91-Z102</f>
        <v/>
      </c>
      <c r="AA126" s="56">
        <f>AA91-AA102</f>
        <v/>
      </c>
      <c r="AB126" s="56">
        <f>AB91-AB102</f>
        <v/>
      </c>
      <c r="AC126" s="56">
        <f>AC91-AC102</f>
        <v/>
      </c>
      <c r="AD126" s="56">
        <f>AD91-AD102</f>
        <v/>
      </c>
      <c r="AE126" s="56">
        <f>AE91-AE102</f>
        <v/>
      </c>
      <c r="AF126" s="56">
        <f>AF91-AF102</f>
        <v/>
      </c>
      <c r="AG126" s="56">
        <f>AG91-AG102</f>
        <v/>
      </c>
      <c r="AH126" s="56">
        <f>AH91-AH102</f>
        <v/>
      </c>
      <c r="AI126" s="56">
        <f>AI91-AI102</f>
        <v/>
      </c>
      <c r="AJ126" s="56">
        <f>AJ91-AJ102</f>
        <v/>
      </c>
      <c r="AK126" s="56">
        <f>AK91-AK102</f>
        <v/>
      </c>
      <c r="AL126" s="56">
        <f>AL91-AL102</f>
        <v/>
      </c>
      <c r="AM126" s="56">
        <f>AM91-AM102</f>
        <v/>
      </c>
      <c r="AN126" s="56">
        <f>AN91-AN102</f>
        <v/>
      </c>
      <c r="AO126" s="56">
        <f>AO91-AO102</f>
        <v/>
      </c>
      <c r="AP126" s="56">
        <f>AP91-AP102</f>
        <v/>
      </c>
      <c r="AQ126" s="56">
        <f>AQ91-AQ102</f>
        <v/>
      </c>
      <c r="AR126" s="56">
        <f>AR91-AR102</f>
        <v/>
      </c>
      <c r="AS126" s="56">
        <f>AS91-AS102</f>
        <v/>
      </c>
      <c r="AT126" s="56">
        <f>AT91-AT102</f>
        <v/>
      </c>
      <c r="AU126" s="56">
        <f>AU91-AU102</f>
        <v/>
      </c>
      <c r="AV126" s="56">
        <f>AV91-AV102</f>
        <v/>
      </c>
      <c r="AW126" s="56">
        <f>AW91-AW102</f>
        <v/>
      </c>
      <c r="AX126" s="56">
        <f>AX91-AX102</f>
        <v/>
      </c>
      <c r="AY126" s="56">
        <f>AY91-AY102</f>
        <v/>
      </c>
      <c r="AZ126" s="56">
        <f>AZ91-AZ102</f>
        <v/>
      </c>
      <c r="BA126" s="56">
        <f>BA91-BA102</f>
        <v/>
      </c>
      <c r="BB126" s="56">
        <f>BB91-BB102</f>
        <v/>
      </c>
      <c r="BC126" s="56">
        <f>BC91-BC102</f>
        <v/>
      </c>
      <c r="BD126" s="56">
        <f>BD91-BD102</f>
        <v/>
      </c>
      <c r="BE126" s="56">
        <f>BE91-BE102</f>
        <v/>
      </c>
      <c r="BF126" s="56">
        <f>BF91-BF102</f>
        <v/>
      </c>
      <c r="BG126" s="56">
        <f>BG91-BG102</f>
        <v/>
      </c>
      <c r="BH126" s="56">
        <f>BH91-BH102</f>
        <v/>
      </c>
      <c r="BI126" s="56">
        <f>BI91-BI102</f>
        <v/>
      </c>
      <c r="BJ126" s="56">
        <f>BJ91-BJ102</f>
        <v/>
      </c>
      <c r="BK126" s="56">
        <f>BK91-BK102</f>
        <v/>
      </c>
      <c r="BL126" s="56">
        <f>BL91-BL102</f>
        <v/>
      </c>
      <c r="BM126" s="56">
        <f>BM91-BM102</f>
        <v/>
      </c>
      <c r="BN126" s="56">
        <f>BN91-BN102</f>
        <v/>
      </c>
      <c r="BO126" s="56">
        <f>BO91-BO102</f>
        <v/>
      </c>
      <c r="BP126" s="56">
        <f>BP91-BP102</f>
        <v/>
      </c>
      <c r="BQ126" s="56">
        <f>BQ91-BQ102</f>
        <v/>
      </c>
      <c r="BR126" s="30" t="inlineStr">
        <is>
          <t>必须为0。</t>
        </is>
      </c>
    </row>
    <row r="127">
      <c r="A127" s="4" t="inlineStr">
        <is>
          <t>Check</t>
        </is>
      </c>
      <c r="B127" s="7" t="inlineStr">
        <is>
          <t>Cash: BS cash − CFS closing cash</t>
        </is>
      </c>
      <c r="C127" s="4" t="inlineStr">
        <is>
          <t>$000</t>
        </is>
      </c>
      <c r="D127" s="56">
        <f>D82-D123</f>
        <v/>
      </c>
      <c r="E127" s="56">
        <f>E82-E123</f>
        <v/>
      </c>
      <c r="F127" s="56">
        <f>F82-F123</f>
        <v/>
      </c>
      <c r="G127" s="56">
        <f>G82-G123</f>
        <v/>
      </c>
      <c r="H127" s="56">
        <f>H82-H123</f>
        <v/>
      </c>
      <c r="I127" s="56">
        <f>I82-I123</f>
        <v/>
      </c>
      <c r="J127" s="56">
        <f>J82-J123</f>
        <v/>
      </c>
      <c r="K127" s="56">
        <f>K82-K123</f>
        <v/>
      </c>
      <c r="L127" s="56">
        <f>L82-L123</f>
        <v/>
      </c>
      <c r="M127" s="56">
        <f>M82-M123</f>
        <v/>
      </c>
      <c r="N127" s="56">
        <f>N82-N123</f>
        <v/>
      </c>
      <c r="O127" s="56">
        <f>O82-O123</f>
        <v/>
      </c>
      <c r="P127" s="56">
        <f>P82-P123</f>
        <v/>
      </c>
      <c r="R127" s="56">
        <f>R82-R123</f>
        <v/>
      </c>
      <c r="S127" s="56">
        <f>S82-S123</f>
        <v/>
      </c>
      <c r="T127" s="56">
        <f>T82-T123</f>
        <v/>
      </c>
      <c r="U127" s="56">
        <f>U82-U123</f>
        <v/>
      </c>
      <c r="V127" s="56">
        <f>V82-V123</f>
        <v/>
      </c>
      <c r="W127" s="56">
        <f>W82-W123</f>
        <v/>
      </c>
      <c r="X127" s="56">
        <f>X82-X123</f>
        <v/>
      </c>
      <c r="Y127" s="56">
        <f>Y82-Y123</f>
        <v/>
      </c>
      <c r="Z127" s="56">
        <f>Z82-Z123</f>
        <v/>
      </c>
      <c r="AA127" s="56">
        <f>AA82-AA123</f>
        <v/>
      </c>
      <c r="AB127" s="56">
        <f>AB82-AB123</f>
        <v/>
      </c>
      <c r="AC127" s="56">
        <f>AC82-AC123</f>
        <v/>
      </c>
      <c r="AD127" s="56">
        <f>AD82-AD123</f>
        <v/>
      </c>
      <c r="AE127" s="56">
        <f>AE82-AE123</f>
        <v/>
      </c>
      <c r="AF127" s="56">
        <f>AF82-AF123</f>
        <v/>
      </c>
      <c r="AG127" s="56">
        <f>AG82-AG123</f>
        <v/>
      </c>
      <c r="AH127" s="56">
        <f>AH82-AH123</f>
        <v/>
      </c>
      <c r="AI127" s="56">
        <f>AI82-AI123</f>
        <v/>
      </c>
      <c r="AJ127" s="56">
        <f>AJ82-AJ123</f>
        <v/>
      </c>
      <c r="AK127" s="56">
        <f>AK82-AK123</f>
        <v/>
      </c>
      <c r="AL127" s="56">
        <f>AL82-AL123</f>
        <v/>
      </c>
      <c r="AM127" s="56">
        <f>AM82-AM123</f>
        <v/>
      </c>
      <c r="AN127" s="56">
        <f>AN82-AN123</f>
        <v/>
      </c>
      <c r="AO127" s="56">
        <f>AO82-AO123</f>
        <v/>
      </c>
      <c r="AP127" s="56">
        <f>AP82-AP123</f>
        <v/>
      </c>
      <c r="AQ127" s="56">
        <f>AQ82-AQ123</f>
        <v/>
      </c>
      <c r="AR127" s="56">
        <f>AR82-AR123</f>
        <v/>
      </c>
      <c r="AS127" s="56">
        <f>AS82-AS123</f>
        <v/>
      </c>
      <c r="AT127" s="56">
        <f>AT82-AT123</f>
        <v/>
      </c>
      <c r="AU127" s="56">
        <f>AU82-AU123</f>
        <v/>
      </c>
      <c r="AV127" s="56">
        <f>AV82-AV123</f>
        <v/>
      </c>
      <c r="AW127" s="56">
        <f>AW82-AW123</f>
        <v/>
      </c>
      <c r="AX127" s="56">
        <f>AX82-AX123</f>
        <v/>
      </c>
      <c r="AY127" s="56">
        <f>AY82-AY123</f>
        <v/>
      </c>
      <c r="AZ127" s="56">
        <f>AZ82-AZ123</f>
        <v/>
      </c>
      <c r="BA127" s="56">
        <f>BA82-BA123</f>
        <v/>
      </c>
      <c r="BB127" s="56">
        <f>BB82-BB123</f>
        <v/>
      </c>
      <c r="BC127" s="56">
        <f>BC82-BC123</f>
        <v/>
      </c>
      <c r="BD127" s="56">
        <f>BD82-BD123</f>
        <v/>
      </c>
      <c r="BE127" s="56">
        <f>BE82-BE123</f>
        <v/>
      </c>
      <c r="BF127" s="56">
        <f>BF82-BF123</f>
        <v/>
      </c>
      <c r="BG127" s="56">
        <f>BG82-BG123</f>
        <v/>
      </c>
      <c r="BH127" s="56">
        <f>BH82-BH123</f>
        <v/>
      </c>
      <c r="BI127" s="56">
        <f>BI82-BI123</f>
        <v/>
      </c>
      <c r="BJ127" s="56">
        <f>BJ82-BJ123</f>
        <v/>
      </c>
      <c r="BK127" s="56">
        <f>BK82-BK123</f>
        <v/>
      </c>
      <c r="BL127" s="56">
        <f>BL82-BL123</f>
        <v/>
      </c>
      <c r="BM127" s="56">
        <f>BM82-BM123</f>
        <v/>
      </c>
      <c r="BN127" s="56">
        <f>BN82-BN123</f>
        <v/>
      </c>
      <c r="BO127" s="56">
        <f>BO82-BO123</f>
        <v/>
      </c>
      <c r="BP127" s="56">
        <f>BP82-BP123</f>
        <v/>
      </c>
      <c r="BQ127" s="56">
        <f>BQ82-BQ123</f>
        <v/>
      </c>
      <c r="BR127" s="30" t="inlineStr">
        <is>
          <t>必须为0。</t>
        </is>
      </c>
    </row>
    <row r="128">
      <c r="A128" s="4" t="inlineStr">
        <is>
          <t>Check</t>
        </is>
      </c>
      <c r="B128" s="7" t="inlineStr">
        <is>
          <t>RE rollforward error</t>
        </is>
      </c>
      <c r="C128" s="4" t="inlineStr">
        <is>
          <t>$000</t>
        </is>
      </c>
      <c r="D128" s="57" t="n">
        <v>0</v>
      </c>
      <c r="E128" s="57">
        <f>E100-(D100+E77)</f>
        <v/>
      </c>
      <c r="F128" s="57">
        <f>F100-(E100+F77)</f>
        <v/>
      </c>
      <c r="G128" s="57">
        <f>G100-(F100+G77)</f>
        <v/>
      </c>
      <c r="H128" s="57">
        <f>H100-(G100+H77)</f>
        <v/>
      </c>
      <c r="I128" s="57">
        <f>I100-(H100+I77)</f>
        <v/>
      </c>
      <c r="J128" s="57">
        <f>J100-(I100+J77)</f>
        <v/>
      </c>
      <c r="K128" s="57">
        <f>K100-(J100+K77)</f>
        <v/>
      </c>
      <c r="L128" s="57">
        <f>L100-(K100+L77)</f>
        <v/>
      </c>
      <c r="M128" s="57">
        <f>M100-(L100+M77)</f>
        <v/>
      </c>
      <c r="N128" s="57">
        <f>N100-(M100+N77)</f>
        <v/>
      </c>
      <c r="O128" s="57">
        <f>O100-(N100+O77)</f>
        <v/>
      </c>
      <c r="P128" s="57">
        <f>P100-(O100+P77)</f>
        <v/>
      </c>
      <c r="R128" s="57" t="n">
        <v>0</v>
      </c>
      <c r="S128" s="57">
        <f>S100-(R100+S77)</f>
        <v/>
      </c>
      <c r="T128" s="57">
        <f>T100-(S100+T77)</f>
        <v/>
      </c>
      <c r="U128" s="57">
        <f>U100-(T100+U77)</f>
        <v/>
      </c>
      <c r="V128" s="57">
        <f>V100-(U100+V77)</f>
        <v/>
      </c>
      <c r="W128" s="57">
        <f>W100-(V100+W77)</f>
        <v/>
      </c>
      <c r="X128" s="57">
        <f>X100-(W100+X77)</f>
        <v/>
      </c>
      <c r="Y128" s="57">
        <f>Y100-(X100+Y77)</f>
        <v/>
      </c>
      <c r="Z128" s="57">
        <f>Z100-(Y100+Z77)</f>
        <v/>
      </c>
      <c r="AA128" s="57">
        <f>AA100-(Z100+AA77)</f>
        <v/>
      </c>
      <c r="AB128" s="57">
        <f>AB100-(AA100+AB77)</f>
        <v/>
      </c>
      <c r="AC128" s="57">
        <f>AC100-(AB100+AC77)</f>
        <v/>
      </c>
      <c r="AD128" s="57">
        <f>AD100-(AC100+AD77)</f>
        <v/>
      </c>
      <c r="AE128" s="57">
        <f>AE100-(AD100+AE77)</f>
        <v/>
      </c>
      <c r="AF128" s="57">
        <f>AF100-(AE100+AF77)</f>
        <v/>
      </c>
      <c r="AG128" s="57">
        <f>AG100-(AF100+AG77)</f>
        <v/>
      </c>
      <c r="AH128" s="57">
        <f>AH100-(AG100+AH77)</f>
        <v/>
      </c>
      <c r="AI128" s="57">
        <f>AI100-(AH100+AI77)</f>
        <v/>
      </c>
      <c r="AJ128" s="57">
        <f>AJ100-(AI100+AJ77)</f>
        <v/>
      </c>
      <c r="AK128" s="57">
        <f>AK100-(AJ100+AK77)</f>
        <v/>
      </c>
      <c r="AL128" s="57">
        <f>AL100-(AK100+AL77)</f>
        <v/>
      </c>
      <c r="AM128" s="57">
        <f>AM100-(AL100+AM77)</f>
        <v/>
      </c>
      <c r="AN128" s="57">
        <f>AN100-(AM100+AN77)</f>
        <v/>
      </c>
      <c r="AO128" s="57">
        <f>AO100-(AN100+AO77)</f>
        <v/>
      </c>
      <c r="AP128" s="57">
        <f>AP100-(AO100+AP77)</f>
        <v/>
      </c>
      <c r="AQ128" s="57">
        <f>AQ100-(AP100+AQ77)</f>
        <v/>
      </c>
      <c r="AR128" s="57">
        <f>AR100-(AQ100+AR77)</f>
        <v/>
      </c>
      <c r="AS128" s="57">
        <f>AS100-(AR100+AS77)</f>
        <v/>
      </c>
      <c r="AT128" s="57">
        <f>AT100-(AS100+AT77)</f>
        <v/>
      </c>
      <c r="AU128" s="57">
        <f>AU100-(AT100+AU77)</f>
        <v/>
      </c>
      <c r="AV128" s="57">
        <f>AV100-(AU100+AV77)</f>
        <v/>
      </c>
      <c r="AW128" s="57">
        <f>AW100-(AV100+AW77)</f>
        <v/>
      </c>
      <c r="AX128" s="57">
        <f>AX100-(AW100+AX77)</f>
        <v/>
      </c>
      <c r="AY128" s="57">
        <f>AY100-(AX100+AY77)</f>
        <v/>
      </c>
      <c r="AZ128" s="57">
        <f>AZ100-(AY100+AZ77)</f>
        <v/>
      </c>
      <c r="BA128" s="57">
        <f>BA100-(AZ100+BA77)</f>
        <v/>
      </c>
      <c r="BB128" s="57">
        <f>BB100-(BA100+BB77)</f>
        <v/>
      </c>
      <c r="BC128" s="57">
        <f>BC100-(BB100+BC77)</f>
        <v/>
      </c>
      <c r="BD128" s="57">
        <f>BD100-(BC100+BD77)</f>
        <v/>
      </c>
      <c r="BE128" s="57">
        <f>BE100-(BD100+BE77)</f>
        <v/>
      </c>
      <c r="BF128" s="57">
        <f>BF100-(BE100+BF77)</f>
        <v/>
      </c>
      <c r="BG128" s="57">
        <f>BG100-(BF100+BG77)</f>
        <v/>
      </c>
      <c r="BH128" s="57">
        <f>BH100-(BG100+BH77)</f>
        <v/>
      </c>
      <c r="BI128" s="57">
        <f>BI100-(BH100+BI77)</f>
        <v/>
      </c>
      <c r="BJ128" s="57">
        <f>BJ100-(BI100+BJ77)</f>
        <v/>
      </c>
      <c r="BK128" s="57">
        <f>BK100-(BJ100+BK77)</f>
        <v/>
      </c>
      <c r="BL128" s="57">
        <f>BL100-(BK100+BL77)</f>
        <v/>
      </c>
      <c r="BM128" s="57">
        <f>BM100-(BL100+BM77)</f>
        <v/>
      </c>
      <c r="BN128" s="57">
        <f>BN100-(BM100+BN77)</f>
        <v/>
      </c>
      <c r="BO128" s="57">
        <f>BO100-(BN100+BO77)</f>
        <v/>
      </c>
      <c r="BP128" s="57">
        <f>BP100-(BO100+BP77)</f>
        <v/>
      </c>
      <c r="BQ128" s="57">
        <f>BQ100-(BP100+BQ77)</f>
        <v/>
      </c>
      <c r="BR128" s="30" t="inlineStr">
        <is>
          <t>期末RE −（期初RE + NI）。历史因AOCI/会计重分类可能有小差异；预测必须为0。</t>
        </is>
      </c>
    </row>
    <row r="129">
      <c r="A129" s="4" t="inlineStr">
        <is>
          <t>Check</t>
        </is>
      </c>
      <c r="B129" s="7" t="inlineStr">
        <is>
          <t>Revenue: P&amp;L − Drivers total</t>
        </is>
      </c>
      <c r="C129" s="4" t="inlineStr">
        <is>
          <t>$000</t>
        </is>
      </c>
      <c r="D129" s="56">
        <f>D61-D36</f>
        <v/>
      </c>
      <c r="E129" s="56">
        <f>E61-E36</f>
        <v/>
      </c>
      <c r="F129" s="56">
        <f>F61-F36</f>
        <v/>
      </c>
      <c r="G129" s="56">
        <f>G61-G36</f>
        <v/>
      </c>
      <c r="H129" s="56">
        <f>H61-H36</f>
        <v/>
      </c>
      <c r="I129" s="56">
        <f>I61-I36</f>
        <v/>
      </c>
      <c r="J129" s="56">
        <f>J61-J36</f>
        <v/>
      </c>
      <c r="K129" s="56">
        <f>K61-K36</f>
        <v/>
      </c>
      <c r="L129" s="56">
        <f>L61-L36</f>
        <v/>
      </c>
      <c r="M129" s="56">
        <f>M61-M36</f>
        <v/>
      </c>
      <c r="N129" s="56">
        <f>N61-N36</f>
        <v/>
      </c>
      <c r="O129" s="56">
        <f>O61-O36</f>
        <v/>
      </c>
      <c r="P129" s="56">
        <f>P61-P36</f>
        <v/>
      </c>
      <c r="R129" s="56">
        <f>R61-R36</f>
        <v/>
      </c>
      <c r="S129" s="56">
        <f>S61-S36</f>
        <v/>
      </c>
      <c r="T129" s="56">
        <f>T61-T36</f>
        <v/>
      </c>
      <c r="U129" s="56">
        <f>U61-U36</f>
        <v/>
      </c>
      <c r="V129" s="56">
        <f>V61-V36</f>
        <v/>
      </c>
      <c r="W129" s="56">
        <f>W61-W36</f>
        <v/>
      </c>
      <c r="X129" s="56">
        <f>X61-X36</f>
        <v/>
      </c>
      <c r="Y129" s="56">
        <f>Y61-Y36</f>
        <v/>
      </c>
      <c r="Z129" s="56">
        <f>Z61-Z36</f>
        <v/>
      </c>
      <c r="AA129" s="56">
        <f>AA61-AA36</f>
        <v/>
      </c>
      <c r="AB129" s="56">
        <f>AB61-AB36</f>
        <v/>
      </c>
      <c r="AC129" s="56">
        <f>AC61-AC36</f>
        <v/>
      </c>
      <c r="AD129" s="56">
        <f>AD61-AD36</f>
        <v/>
      </c>
      <c r="AE129" s="56">
        <f>AE61-AE36</f>
        <v/>
      </c>
      <c r="AF129" s="56">
        <f>AF61-AF36</f>
        <v/>
      </c>
      <c r="AG129" s="56">
        <f>AG61-AG36</f>
        <v/>
      </c>
      <c r="AH129" s="56">
        <f>AH61-AH36</f>
        <v/>
      </c>
      <c r="AI129" s="56">
        <f>AI61-AI36</f>
        <v/>
      </c>
      <c r="AJ129" s="56">
        <f>AJ61-AJ36</f>
        <v/>
      </c>
      <c r="AK129" s="56">
        <f>AK61-AK36</f>
        <v/>
      </c>
      <c r="AL129" s="56">
        <f>AL61-AL36</f>
        <v/>
      </c>
      <c r="AM129" s="56">
        <f>AM61-AM36</f>
        <v/>
      </c>
      <c r="AN129" s="56">
        <f>AN61-AN36</f>
        <v/>
      </c>
      <c r="AO129" s="56">
        <f>AO61-AO36</f>
        <v/>
      </c>
      <c r="AP129" s="56">
        <f>AP61-AP36</f>
        <v/>
      </c>
      <c r="AQ129" s="56">
        <f>AQ61-AQ36</f>
        <v/>
      </c>
      <c r="AR129" s="56">
        <f>AR61-AR36</f>
        <v/>
      </c>
      <c r="AS129" s="56">
        <f>AS61-AS36</f>
        <v/>
      </c>
      <c r="AT129" s="56">
        <f>AT61-AT36</f>
        <v/>
      </c>
      <c r="AU129" s="56">
        <f>AU61-AU36</f>
        <v/>
      </c>
      <c r="AV129" s="56">
        <f>AV61-AV36</f>
        <v/>
      </c>
      <c r="AW129" s="56">
        <f>AW61-AW36</f>
        <v/>
      </c>
      <c r="AX129" s="56">
        <f>AX61-AX36</f>
        <v/>
      </c>
      <c r="AY129" s="56">
        <f>AY61-AY36</f>
        <v/>
      </c>
      <c r="AZ129" s="56">
        <f>AZ61-AZ36</f>
        <v/>
      </c>
      <c r="BA129" s="56">
        <f>BA61-BA36</f>
        <v/>
      </c>
      <c r="BB129" s="56">
        <f>BB61-BB36</f>
        <v/>
      </c>
      <c r="BC129" s="56">
        <f>BC61-BC36</f>
        <v/>
      </c>
      <c r="BD129" s="56">
        <f>BD61-BD36</f>
        <v/>
      </c>
      <c r="BE129" s="56">
        <f>BE61-BE36</f>
        <v/>
      </c>
      <c r="BF129" s="56">
        <f>BF61-BF36</f>
        <v/>
      </c>
      <c r="BG129" s="56">
        <f>BG61-BG36</f>
        <v/>
      </c>
      <c r="BH129" s="56">
        <f>BH61-BH36</f>
        <v/>
      </c>
      <c r="BI129" s="56">
        <f>BI61-BI36</f>
        <v/>
      </c>
      <c r="BJ129" s="56">
        <f>BJ61-BJ36</f>
        <v/>
      </c>
      <c r="BK129" s="56">
        <f>BK61-BK36</f>
        <v/>
      </c>
      <c r="BL129" s="56">
        <f>BL61-BL36</f>
        <v/>
      </c>
      <c r="BM129" s="56">
        <f>BM61-BM36</f>
        <v/>
      </c>
      <c r="BN129" s="56">
        <f>BN61-BN36</f>
        <v/>
      </c>
      <c r="BO129" s="56">
        <f>BO61-BO36</f>
        <v/>
      </c>
      <c r="BP129" s="56">
        <f>BP61-BP36</f>
        <v/>
      </c>
      <c r="BQ129" s="56">
        <f>BQ61-BQ36</f>
        <v/>
      </c>
      <c r="BR129" s="30" t="inlineStr">
        <is>
          <t>收入驱动必须钉住P&amp;L。</t>
        </is>
      </c>
    </row>
    <row r="130">
      <c r="A130" s="4" t="inlineStr">
        <is>
          <t>Check</t>
        </is>
      </c>
      <c r="B130" s="7" t="inlineStr">
        <is>
          <t>NI: P&amp;L NI vs EBT − Tax</t>
        </is>
      </c>
      <c r="C130" s="4" t="inlineStr">
        <is>
          <t>$000</t>
        </is>
      </c>
      <c r="D130" s="57">
        <f>D77-(D75-D76)</f>
        <v/>
      </c>
      <c r="E130" s="57">
        <f>E77-(E75-E76)</f>
        <v/>
      </c>
      <c r="F130" s="57">
        <f>F77-(F75-F76)</f>
        <v/>
      </c>
      <c r="G130" s="57">
        <f>G77-(G75-G76)</f>
        <v/>
      </c>
      <c r="H130" s="57">
        <f>H77-(H75-H76)</f>
        <v/>
      </c>
      <c r="I130" s="57">
        <f>I77-(I75-I76)</f>
        <v/>
      </c>
      <c r="J130" s="57">
        <f>J77-(J75-J76)</f>
        <v/>
      </c>
      <c r="K130" s="57">
        <f>K77-(K75-K76)</f>
        <v/>
      </c>
      <c r="L130" s="57">
        <f>L77-(L75-L76)</f>
        <v/>
      </c>
      <c r="M130" s="57">
        <f>M77-(M75-M76)</f>
        <v/>
      </c>
      <c r="N130" s="57">
        <f>N77-(N75-N76)</f>
        <v/>
      </c>
      <c r="O130" s="57">
        <f>O77-(O75-O76)</f>
        <v/>
      </c>
      <c r="P130" s="57">
        <f>P77-(P75-P76)</f>
        <v/>
      </c>
      <c r="R130" s="57">
        <f>R77-(R75-R76)</f>
        <v/>
      </c>
      <c r="S130" s="57">
        <f>S77-(S75-S76)</f>
        <v/>
      </c>
      <c r="T130" s="57">
        <f>T77-(T75-T76)</f>
        <v/>
      </c>
      <c r="U130" s="57">
        <f>U77-(U75-U76)</f>
        <v/>
      </c>
      <c r="V130" s="57">
        <f>V77-(V75-V76)</f>
        <v/>
      </c>
      <c r="W130" s="57">
        <f>W77-(W75-W76)</f>
        <v/>
      </c>
      <c r="X130" s="57">
        <f>X77-(X75-X76)</f>
        <v/>
      </c>
      <c r="Y130" s="57">
        <f>Y77-(Y75-Y76)</f>
        <v/>
      </c>
      <c r="Z130" s="57">
        <f>Z77-(Z75-Z76)</f>
        <v/>
      </c>
      <c r="AA130" s="57">
        <f>AA77-(AA75-AA76)</f>
        <v/>
      </c>
      <c r="AB130" s="57">
        <f>AB77-(AB75-AB76)</f>
        <v/>
      </c>
      <c r="AC130" s="57">
        <f>AC77-(AC75-AC76)</f>
        <v/>
      </c>
      <c r="AD130" s="57">
        <f>AD77-(AD75-AD76)</f>
        <v/>
      </c>
      <c r="AE130" s="57">
        <f>AE77-(AE75-AE76)</f>
        <v/>
      </c>
      <c r="AF130" s="57">
        <f>AF77-(AF75-AF76)</f>
        <v/>
      </c>
      <c r="AG130" s="57">
        <f>AG77-(AG75-AG76)</f>
        <v/>
      </c>
      <c r="AH130" s="57">
        <f>AH77-(AH75-AH76)</f>
        <v/>
      </c>
      <c r="AI130" s="57">
        <f>AI77-(AI75-AI76)</f>
        <v/>
      </c>
      <c r="AJ130" s="57">
        <f>AJ77-(AJ75-AJ76)</f>
        <v/>
      </c>
      <c r="AK130" s="57">
        <f>AK77-(AK75-AK76)</f>
        <v/>
      </c>
      <c r="AL130" s="57">
        <f>AL77-(AL75-AL76)</f>
        <v/>
      </c>
      <c r="AM130" s="57">
        <f>AM77-(AM75-AM76)</f>
        <v/>
      </c>
      <c r="AN130" s="57">
        <f>AN77-(AN75-AN76)</f>
        <v/>
      </c>
      <c r="AO130" s="57">
        <f>AO77-(AO75-AO76)</f>
        <v/>
      </c>
      <c r="AP130" s="57">
        <f>AP77-(AP75-AP76)</f>
        <v/>
      </c>
      <c r="AQ130" s="57">
        <f>AQ77-(AQ75-AQ76)</f>
        <v/>
      </c>
      <c r="AR130" s="57">
        <f>AR77-(AR75-AR76)</f>
        <v/>
      </c>
      <c r="AS130" s="57">
        <f>AS77-(AS75-AS76)</f>
        <v/>
      </c>
      <c r="AT130" s="57">
        <f>AT77-(AT75-AT76)</f>
        <v/>
      </c>
      <c r="AU130" s="57">
        <f>AU77-(AU75-AU76)</f>
        <v/>
      </c>
      <c r="AV130" s="57">
        <f>AV77-(AV75-AV76)</f>
        <v/>
      </c>
      <c r="AW130" s="57">
        <f>AW77-(AW75-AW76)</f>
        <v/>
      </c>
      <c r="AX130" s="57">
        <f>AX77-(AX75-AX76)</f>
        <v/>
      </c>
      <c r="AY130" s="57">
        <f>AY77-(AY75-AY76)</f>
        <v/>
      </c>
      <c r="AZ130" s="57">
        <f>AZ77-(AZ75-AZ76)</f>
        <v/>
      </c>
      <c r="BA130" s="57">
        <f>BA77-(BA75-BA76)</f>
        <v/>
      </c>
      <c r="BB130" s="57">
        <f>BB77-(BB75-BB76)</f>
        <v/>
      </c>
      <c r="BC130" s="57">
        <f>BC77-(BC75-BC76)</f>
        <v/>
      </c>
      <c r="BD130" s="57">
        <f>BD77-(BD75-BD76)</f>
        <v/>
      </c>
      <c r="BE130" s="57">
        <f>BE77-(BE75-BE76)</f>
        <v/>
      </c>
      <c r="BF130" s="57">
        <f>BF77-(BF75-BF76)</f>
        <v/>
      </c>
      <c r="BG130" s="57">
        <f>BG77-(BG75-BG76)</f>
        <v/>
      </c>
      <c r="BH130" s="57">
        <f>BH77-(BH75-BH76)</f>
        <v/>
      </c>
      <c r="BI130" s="57">
        <f>BI77-(BI75-BI76)</f>
        <v/>
      </c>
      <c r="BJ130" s="57">
        <f>BJ77-(BJ75-BJ76)</f>
        <v/>
      </c>
      <c r="BK130" s="57">
        <f>BK77-(BK75-BK76)</f>
        <v/>
      </c>
      <c r="BL130" s="57">
        <f>BL77-(BL75-BL76)</f>
        <v/>
      </c>
      <c r="BM130" s="57">
        <f>BM77-(BM75-BM76)</f>
        <v/>
      </c>
      <c r="BN130" s="57">
        <f>BN77-(BN75-BN76)</f>
        <v/>
      </c>
      <c r="BO130" s="57">
        <f>BO77-(BO75-BO76)</f>
        <v/>
      </c>
      <c r="BP130" s="57">
        <f>BP77-(BP75-BP76)</f>
        <v/>
      </c>
      <c r="BQ130" s="57">
        <f>BQ77-(BQ75-BQ76)</f>
        <v/>
      </c>
      <c r="BR130" s="30" t="inlineStr">
        <is>
          <t>应为主0。</t>
        </is>
      </c>
    </row>
    <row r="131">
      <c r="A131" s="4" t="inlineStr">
        <is>
          <t>Check</t>
        </is>
      </c>
      <c r="B131" s="7" t="inlineStr">
        <is>
          <t>CFS identity: CFO+CFI+CFF+FX − ΔCash</t>
        </is>
      </c>
      <c r="C131" s="4" t="inlineStr">
        <is>
          <t>$000</t>
        </is>
      </c>
      <c r="D131" s="56">
        <f>D113+D116+D119+D120-D121</f>
        <v/>
      </c>
      <c r="E131" s="56">
        <f>E113+E116+E119+E120-E121</f>
        <v/>
      </c>
      <c r="F131" s="56">
        <f>F113+F116+F119+F120-F121</f>
        <v/>
      </c>
      <c r="G131" s="56">
        <f>G113+G116+G119+G120-G121</f>
        <v/>
      </c>
      <c r="H131" s="56">
        <f>H113+H116+H119+H120-H121</f>
        <v/>
      </c>
      <c r="I131" s="56">
        <f>I113+I116+I119+I120-I121</f>
        <v/>
      </c>
      <c r="J131" s="56">
        <f>J113+J116+J119+J120-J121</f>
        <v/>
      </c>
      <c r="K131" s="56">
        <f>K113+K116+K119+K120-K121</f>
        <v/>
      </c>
      <c r="L131" s="56">
        <f>L113+L116+L119+L120-L121</f>
        <v/>
      </c>
      <c r="M131" s="56">
        <f>M113+M116+M119+M120-M121</f>
        <v/>
      </c>
      <c r="N131" s="56">
        <f>N113+N116+N119+N120-N121</f>
        <v/>
      </c>
      <c r="O131" s="56">
        <f>O113+O116+O119+O120-O121</f>
        <v/>
      </c>
      <c r="P131" s="56">
        <f>P113+P116+P119+P120-P121</f>
        <v/>
      </c>
      <c r="R131" s="56">
        <f>R113+R116+R119+R120-R121</f>
        <v/>
      </c>
      <c r="S131" s="56">
        <f>S113+S116+S119+S120-S121</f>
        <v/>
      </c>
      <c r="T131" s="56">
        <f>T113+T116+T119+T120-T121</f>
        <v/>
      </c>
      <c r="U131" s="56">
        <f>U113+U116+U119+U120-U121</f>
        <v/>
      </c>
      <c r="V131" s="56">
        <f>V113+V116+V119+V120-V121</f>
        <v/>
      </c>
      <c r="W131" s="56">
        <f>W113+W116+W119+W120-W121</f>
        <v/>
      </c>
      <c r="X131" s="56">
        <f>X113+X116+X119+X120-X121</f>
        <v/>
      </c>
      <c r="Y131" s="56">
        <f>Y113+Y116+Y119+Y120-Y121</f>
        <v/>
      </c>
      <c r="Z131" s="56">
        <f>Z113+Z116+Z119+Z120-Z121</f>
        <v/>
      </c>
      <c r="AA131" s="56">
        <f>AA113+AA116+AA119+AA120-AA121</f>
        <v/>
      </c>
      <c r="AB131" s="56">
        <f>AB113+AB116+AB119+AB120-AB121</f>
        <v/>
      </c>
      <c r="AC131" s="56">
        <f>AC113+AC116+AC119+AC120-AC121</f>
        <v/>
      </c>
      <c r="AD131" s="56">
        <f>AD113+AD116+AD119+AD120-AD121</f>
        <v/>
      </c>
      <c r="AE131" s="56">
        <f>AE113+AE116+AE119+AE120-AE121</f>
        <v/>
      </c>
      <c r="AF131" s="56">
        <f>AF113+AF116+AF119+AF120-AF121</f>
        <v/>
      </c>
      <c r="AG131" s="56">
        <f>AG113+AG116+AG119+AG120-AG121</f>
        <v/>
      </c>
      <c r="AH131" s="56">
        <f>AH113+AH116+AH119+AH120-AH121</f>
        <v/>
      </c>
      <c r="AI131" s="56">
        <f>AI113+AI116+AI119+AI120-AI121</f>
        <v/>
      </c>
      <c r="AJ131" s="56">
        <f>AJ113+AJ116+AJ119+AJ120-AJ121</f>
        <v/>
      </c>
      <c r="AK131" s="56">
        <f>AK113+AK116+AK119+AK120-AK121</f>
        <v/>
      </c>
      <c r="AL131" s="56">
        <f>AL113+AL116+AL119+AL120-AL121</f>
        <v/>
      </c>
      <c r="AM131" s="56">
        <f>AM113+AM116+AM119+AM120-AM121</f>
        <v/>
      </c>
      <c r="AN131" s="56">
        <f>AN113+AN116+AN119+AN120-AN121</f>
        <v/>
      </c>
      <c r="AO131" s="56">
        <f>AO113+AO116+AO119+AO120-AO121</f>
        <v/>
      </c>
      <c r="AP131" s="56">
        <f>AP113+AP116+AP119+AP120-AP121</f>
        <v/>
      </c>
      <c r="AQ131" s="56">
        <f>AQ113+AQ116+AQ119+AQ120-AQ121</f>
        <v/>
      </c>
      <c r="AR131" s="56">
        <f>AR113+AR116+AR119+AR120-AR121</f>
        <v/>
      </c>
      <c r="AS131" s="56">
        <f>AS113+AS116+AS119+AS120-AS121</f>
        <v/>
      </c>
      <c r="AT131" s="56">
        <f>AT113+AT116+AT119+AT120-AT121</f>
        <v/>
      </c>
      <c r="AU131" s="56">
        <f>AU113+AU116+AU119+AU120-AU121</f>
        <v/>
      </c>
      <c r="AV131" s="56">
        <f>AV113+AV116+AV119+AV120-AV121</f>
        <v/>
      </c>
      <c r="AW131" s="56">
        <f>AW113+AW116+AW119+AW120-AW121</f>
        <v/>
      </c>
      <c r="AX131" s="56">
        <f>AX113+AX116+AX119+AX120-AX121</f>
        <v/>
      </c>
      <c r="AY131" s="56">
        <f>AY113+AY116+AY119+AY120-AY121</f>
        <v/>
      </c>
      <c r="AZ131" s="56">
        <f>AZ113+AZ116+AZ119+AZ120-AZ121</f>
        <v/>
      </c>
      <c r="BA131" s="56">
        <f>BA113+BA116+BA119+BA120-BA121</f>
        <v/>
      </c>
      <c r="BB131" s="56">
        <f>BB113+BB116+BB119+BB120-BB121</f>
        <v/>
      </c>
      <c r="BC131" s="56">
        <f>BC113+BC116+BC119+BC120-BC121</f>
        <v/>
      </c>
      <c r="BD131" s="56">
        <f>BD113+BD116+BD119+BD120-BD121</f>
        <v/>
      </c>
      <c r="BE131" s="56">
        <f>BE113+BE116+BE119+BE120-BE121</f>
        <v/>
      </c>
      <c r="BF131" s="56">
        <f>BF113+BF116+BF119+BF120-BF121</f>
        <v/>
      </c>
      <c r="BG131" s="56">
        <f>BG113+BG116+BG119+BG120-BG121</f>
        <v/>
      </c>
      <c r="BH131" s="56">
        <f>BH113+BH116+BH119+BH120-BH121</f>
        <v/>
      </c>
      <c r="BI131" s="56">
        <f>BI113+BI116+BI119+BI120-BI121</f>
        <v/>
      </c>
      <c r="BJ131" s="56">
        <f>BJ113+BJ116+BJ119+BJ120-BJ121</f>
        <v/>
      </c>
      <c r="BK131" s="56">
        <f>BK113+BK116+BK119+BK120-BK121</f>
        <v/>
      </c>
      <c r="BL131" s="56">
        <f>BL113+BL116+BL119+BL120-BL121</f>
        <v/>
      </c>
      <c r="BM131" s="56">
        <f>BM113+BM116+BM119+BM120-BM121</f>
        <v/>
      </c>
      <c r="BN131" s="56">
        <f>BN113+BN116+BN119+BN120-BN121</f>
        <v/>
      </c>
      <c r="BO131" s="56">
        <f>BO113+BO116+BO119+BO120-BO121</f>
        <v/>
      </c>
      <c r="BP131" s="56">
        <f>BP113+BP116+BP119+BP120-BP121</f>
        <v/>
      </c>
      <c r="BQ131" s="56">
        <f>BQ113+BQ116+BQ119+BQ120-BQ121</f>
        <v/>
      </c>
      <c r="BR131" s="30" t="inlineStr">
        <is>
          <t>必须为0。</t>
        </is>
      </c>
    </row>
    <row r="132">
      <c r="A132" s="4" t="inlineStr">
        <is>
          <t>Check</t>
        </is>
      </c>
      <c r="B132" s="7" t="inlineStr">
        <is>
          <t>Annual revenue − sum of 4 quarters</t>
        </is>
      </c>
      <c r="C132" s="4" t="inlineStr">
        <is>
          <t>$000</t>
        </is>
      </c>
      <c r="D132" s="56">
        <f>D61-(R61+S61+T61+U61)</f>
        <v/>
      </c>
      <c r="E132" s="56">
        <f>E61-(V61+W61+X61+Y61)</f>
        <v/>
      </c>
      <c r="F132" s="56">
        <f>F61-(Z61+AA61+AB61+AC61)</f>
        <v/>
      </c>
      <c r="G132" s="56">
        <f>G61-(AD61+AE61+AF61+AG61)</f>
        <v/>
      </c>
      <c r="H132" s="56">
        <f>H61-(AH61+AI61+AJ61+AK61)</f>
        <v/>
      </c>
      <c r="I132" s="56">
        <f>I61-(AL61+AM61+AN61+AO61)</f>
        <v/>
      </c>
      <c r="J132" s="56">
        <f>J61-(AP61+AQ61+AR61+AS61)</f>
        <v/>
      </c>
      <c r="K132" s="56">
        <f>K61-(AT61+AU61+AV61+AW61)</f>
        <v/>
      </c>
      <c r="L132" s="56">
        <f>L61-(AX61+AY61+AZ61+BA61)</f>
        <v/>
      </c>
      <c r="M132" s="56">
        <f>M61-(BB61+BC61+BD61+BE61)</f>
        <v/>
      </c>
      <c r="N132" s="56">
        <f>N61-(BF61+BG61+BH61+BI61)</f>
        <v/>
      </c>
      <c r="O132" s="56">
        <f>O61-(BJ61+BK61+BL61+BM61)</f>
        <v/>
      </c>
      <c r="P132" s="56">
        <f>P61-(BN61+BO61+BP61+BQ61)</f>
        <v/>
      </c>
      <c r="R132" s="57" t="n">
        <v>0</v>
      </c>
      <c r="S132" s="57" t="n">
        <v>0</v>
      </c>
      <c r="T132" s="57" t="n">
        <v>0</v>
      </c>
      <c r="U132" s="57" t="n">
        <v>0</v>
      </c>
      <c r="V132" s="57" t="n">
        <v>0</v>
      </c>
      <c r="W132" s="57" t="n">
        <v>0</v>
      </c>
      <c r="X132" s="57" t="n">
        <v>0</v>
      </c>
      <c r="Y132" s="57" t="n">
        <v>0</v>
      </c>
      <c r="Z132" s="57" t="n">
        <v>0</v>
      </c>
      <c r="AA132" s="57" t="n">
        <v>0</v>
      </c>
      <c r="AB132" s="57" t="n">
        <v>0</v>
      </c>
      <c r="AC132" s="57" t="n">
        <v>0</v>
      </c>
      <c r="AD132" s="57" t="n">
        <v>0</v>
      </c>
      <c r="AE132" s="57" t="n">
        <v>0</v>
      </c>
      <c r="AF132" s="57" t="n">
        <v>0</v>
      </c>
      <c r="AG132" s="57" t="n">
        <v>0</v>
      </c>
      <c r="AH132" s="57" t="n">
        <v>0</v>
      </c>
      <c r="AI132" s="57" t="n">
        <v>0</v>
      </c>
      <c r="AJ132" s="57" t="n">
        <v>0</v>
      </c>
      <c r="AK132" s="57" t="n">
        <v>0</v>
      </c>
      <c r="AL132" s="57" t="n">
        <v>0</v>
      </c>
      <c r="AM132" s="57" t="n">
        <v>0</v>
      </c>
      <c r="AN132" s="57" t="n">
        <v>0</v>
      </c>
      <c r="AO132" s="57" t="n">
        <v>0</v>
      </c>
      <c r="AP132" s="57" t="n">
        <v>0</v>
      </c>
      <c r="AQ132" s="57" t="n">
        <v>0</v>
      </c>
      <c r="AR132" s="57" t="n">
        <v>0</v>
      </c>
      <c r="AS132" s="57" t="n">
        <v>0</v>
      </c>
      <c r="AT132" s="57" t="n">
        <v>0</v>
      </c>
      <c r="AU132" s="57" t="n">
        <v>0</v>
      </c>
      <c r="AV132" s="57" t="n">
        <v>0</v>
      </c>
      <c r="AW132" s="57" t="n">
        <v>0</v>
      </c>
      <c r="AX132" s="57" t="n">
        <v>0</v>
      </c>
      <c r="AY132" s="57" t="n">
        <v>0</v>
      </c>
      <c r="AZ132" s="57" t="n">
        <v>0</v>
      </c>
      <c r="BA132" s="57" t="n">
        <v>0</v>
      </c>
      <c r="BB132" s="57" t="n">
        <v>0</v>
      </c>
      <c r="BC132" s="57" t="n">
        <v>0</v>
      </c>
      <c r="BD132" s="57" t="n">
        <v>0</v>
      </c>
      <c r="BE132" s="57" t="n">
        <v>0</v>
      </c>
      <c r="BF132" s="57" t="n">
        <v>0</v>
      </c>
      <c r="BG132" s="57" t="n">
        <v>0</v>
      </c>
      <c r="BH132" s="57" t="n">
        <v>0</v>
      </c>
      <c r="BI132" s="57" t="n">
        <v>0</v>
      </c>
      <c r="BJ132" s="57" t="n">
        <v>0</v>
      </c>
      <c r="BK132" s="57" t="n">
        <v>0</v>
      </c>
      <c r="BL132" s="57" t="n">
        <v>0</v>
      </c>
      <c r="BM132" s="57" t="n">
        <v>0</v>
      </c>
      <c r="BN132" s="57" t="n">
        <v>0</v>
      </c>
      <c r="BO132" s="57" t="n">
        <v>0</v>
      </c>
      <c r="BP132" s="57" t="n">
        <v>0</v>
      </c>
      <c r="BQ132" s="57" t="n">
        <v>0</v>
      </c>
      <c r="BR132" s="30" t="inlineStr">
        <is>
          <t>年度应对齐四季之和。</t>
        </is>
      </c>
    </row>
    <row r="134">
      <c r="A134" s="5" t="inlineStr">
        <is>
          <t>免责声明 / Disclaimer</t>
        </is>
      </c>
    </row>
    <row r="135">
      <c r="A135" s="58" t="inlineStr">
        <is>
          <t>本模型仅供投资研究讨论，不构成投资建议。历史数据来自SEC申报（XBRL/10-K/10-Q）及公司财报；DSP/TIA/Driver出货量与ASP公司未披露，为分析师根据Infrastructure分部、FY26光学$210–230m展望、Q3'26收入指引$210–220m及行业800G/1.6T模块BOM反推。预测依赖Keystone爬坡、Rushmore 2027量产、TIA/Driver 2027–28放量、宽带温和修复及无重大商誉减值。竞争（Marvell/Broadcom DSP）、制程成本、客户认证与宏观需求可能导致显著偏离。</t>
        </is>
      </c>
    </row>
    <row r="136"/>
    <row r="137"/>
    <row r="138"/>
  </sheetData>
  <mergeCells count="11">
    <mergeCell ref="A60:C60"/>
    <mergeCell ref="A3:H3"/>
    <mergeCell ref="A13:C13"/>
    <mergeCell ref="A135:H138"/>
    <mergeCell ref="A2:H2"/>
    <mergeCell ref="BR7:BR11"/>
    <mergeCell ref="A40:C40"/>
    <mergeCell ref="A1:H1"/>
    <mergeCell ref="A81:C81"/>
    <mergeCell ref="A125:C125"/>
    <mergeCell ref="A104:C104"/>
  </mergeCells>
  <conditionalFormatting sqref="D126:BQ126">
    <cfRule type="cellIs" priority="1" operator="notBetween" dxfId="0">
      <formula>-2</formula>
      <formula>2</formula>
    </cfRule>
    <cfRule type="cellIs" priority="2" operator="between" dxfId="1">
      <formula>-2</formula>
      <formula>2</formula>
    </cfRule>
  </conditionalFormatting>
  <conditionalFormatting sqref="D127:BQ127">
    <cfRule type="cellIs" priority="3" operator="notBetween" dxfId="0">
      <formula>-2</formula>
      <formula>2</formula>
    </cfRule>
    <cfRule type="cellIs" priority="4" operator="between" dxfId="1">
      <formula>-2</formula>
      <formula>2</formula>
    </cfRule>
  </conditionalFormatting>
  <conditionalFormatting sqref="D129:BQ129">
    <cfRule type="cellIs" priority="5" operator="notBetween" dxfId="0">
      <formula>-2</formula>
      <formula>2</formula>
    </cfRule>
    <cfRule type="cellIs" priority="6" operator="between" dxfId="1">
      <formula>-2</formula>
      <formula>2</formula>
    </cfRule>
  </conditionalFormatting>
  <conditionalFormatting sqref="D131:BQ131">
    <cfRule type="cellIs" priority="7" operator="notBetween" dxfId="0">
      <formula>-2</formula>
      <formula>2</formula>
    </cfRule>
    <cfRule type="cellIs" priority="8" operator="between" dxfId="1">
      <formula>-2</formula>
      <formula>2</formula>
    </cfRule>
  </conditionalFormatting>
  <pageMargins left="0.75" right="0.75" top="1" bottom="1" header="0.5" footer="0.5"/>
  <pageSetup orientation="landscape" fitToHeight="0" fitToWidth="1"/>
  <headerFooter>
    <oddHeader/>
    <oddFooter>&amp;LMaxLinear (MXL) | Hedge-fund style operating model | Not investment advice&amp;RBlue = input / Black = formula  | 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2026-08-18T08:47:07Z</dcterms:created>
  <dcterms:modified xsi:type="dcterms:W3CDTF">2026-08-18T08:47:07Z</dcterms:modified>
</cp:coreProperties>
</file>