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shFlows" sheetId="2" state="visible" r:id="rId2"/>
    <sheet xmlns:r="http://schemas.openxmlformats.org/officeDocument/2006/relationships" name="Recommen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F2C5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0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NPV at 8% ($000s)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'CashFlows'!$B$1:$D$1</f>
            </numRef>
          </cat>
          <val>
            <numRef>
              <f>'CashFlows'!$B$7:$D$7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Vendor_A</t>
        </is>
      </c>
      <c r="C1" s="1" t="inlineStr">
        <is>
          <t>Vendor_B</t>
        </is>
      </c>
      <c r="D1" s="1" t="inlineStr">
        <is>
          <t>Vendor_C</t>
        </is>
      </c>
      <c r="E1" s="1" t="inlineStr">
        <is>
          <t>Timing</t>
        </is>
      </c>
    </row>
    <row r="2">
      <c r="A2" t="inlineStr">
        <is>
          <t>Implementation_t0</t>
        </is>
      </c>
      <c r="B2" t="n">
        <v>220</v>
      </c>
      <c r="C2" t="n">
        <v>150</v>
      </c>
      <c r="D2" t="n">
        <v>300</v>
      </c>
      <c r="E2" t="inlineStr">
        <is>
          <t>t=0</t>
        </is>
      </c>
    </row>
    <row r="3">
      <c r="A3" t="inlineStr">
        <is>
          <t>Training_t0</t>
        </is>
      </c>
      <c r="B3" t="n">
        <v>60</v>
      </c>
      <c r="C3" t="n">
        <v>90</v>
      </c>
      <c r="D3" t="n">
        <v>40</v>
      </c>
      <c r="E3" t="inlineStr">
        <is>
          <t>t=0</t>
        </is>
      </c>
    </row>
    <row r="4">
      <c r="A4" t="inlineStr">
        <is>
          <t>Y1_License</t>
        </is>
      </c>
      <c r="B4" t="n">
        <v>380</v>
      </c>
      <c r="C4" t="n">
        <v>300</v>
      </c>
      <c r="D4" t="n">
        <v>450</v>
      </c>
      <c r="E4" t="inlineStr">
        <is>
          <t>year-end</t>
        </is>
      </c>
    </row>
    <row r="5">
      <c r="A5" t="inlineStr">
        <is>
          <t>Y2_License</t>
        </is>
      </c>
      <c r="B5" t="n">
        <v>380</v>
      </c>
      <c r="C5" t="n">
        <v>315</v>
      </c>
      <c r="D5" t="n">
        <v>450</v>
      </c>
      <c r="E5" t="inlineStr">
        <is>
          <t>year-end</t>
        </is>
      </c>
    </row>
    <row r="6">
      <c r="A6" t="inlineStr">
        <is>
          <t>Y3_License</t>
        </is>
      </c>
      <c r="B6" t="n">
        <v>380</v>
      </c>
      <c r="C6" t="n">
        <v>331</v>
      </c>
      <c r="D6" t="n">
        <v>450</v>
      </c>
      <c r="E6" t="inlineStr">
        <is>
          <t>year-end</t>
        </is>
      </c>
    </row>
    <row r="7">
      <c r="A7" t="inlineStr">
        <is>
          <t>Annual_Support</t>
        </is>
      </c>
      <c r="B7" t="n">
        <v>40</v>
      </c>
      <c r="C7" t="n">
        <v>65</v>
      </c>
      <c r="D7" t="n">
        <v>25</v>
      </c>
      <c r="E7" t="inlineStr">
        <is>
          <t>each year-end</t>
        </is>
      </c>
    </row>
    <row r="8">
      <c r="A8" t="inlineStr">
        <is>
          <t>Annual_Downtime</t>
        </is>
      </c>
      <c r="B8" t="n">
        <v>25</v>
      </c>
      <c r="C8" t="n">
        <v>80</v>
      </c>
      <c r="D8" t="n">
        <v>10</v>
      </c>
      <c r="E8" t="inlineStr">
        <is>
          <t>each year-end</t>
        </is>
      </c>
    </row>
    <row r="9">
      <c r="A9" t="inlineStr">
        <is>
          <t>Y1_Migration</t>
        </is>
      </c>
      <c r="B9" t="n">
        <v>0</v>
      </c>
      <c r="C9" t="n">
        <v>50</v>
      </c>
      <c r="D9" t="n">
        <v>0</v>
      </c>
      <c r="E9" t="inlineStr">
        <is>
          <t>end of Y1</t>
        </is>
      </c>
    </row>
    <row r="10">
      <c r="A10" t="inlineStr">
        <is>
          <t>Y3_Residual_inflow</t>
        </is>
      </c>
      <c r="B10" t="n">
        <v>0</v>
      </c>
      <c r="C10" t="n">
        <v>0</v>
      </c>
      <c r="D10" t="n">
        <v>120</v>
      </c>
      <c r="E10" t="inlineStr">
        <is>
          <t>end of Y3 inflow</t>
        </is>
      </c>
    </row>
    <row r="11">
      <c r="A11" t="inlineStr">
        <is>
          <t>Discount_rate</t>
        </is>
      </c>
      <c r="B11" s="2" t="n">
        <v>0.08</v>
      </c>
      <c r="C11" s="2" t="n">
        <v>0.08</v>
      </c>
      <c r="D11" s="2" t="n">
        <v>0.08</v>
      </c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Line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</row>
    <row r="2">
      <c r="A2" t="inlineStr">
        <is>
          <t>t0</t>
        </is>
      </c>
      <c r="B2" s="3">
        <f>Inputs!B2+Inputs!B3</f>
        <v/>
      </c>
      <c r="C2" s="3">
        <f>Inputs!C2+Inputs!C3</f>
        <v/>
      </c>
      <c r="D2" s="3">
        <f>Inputs!D2+Inputs!D3</f>
        <v/>
      </c>
    </row>
    <row r="3">
      <c r="A3" t="inlineStr">
        <is>
          <t>Y1</t>
        </is>
      </c>
      <c r="B3" s="3">
        <f>Inputs!B4+Inputs!B7+Inputs!B8+Inputs!B9</f>
        <v/>
      </c>
      <c r="C3" s="3">
        <f>Inputs!C4+Inputs!C7+Inputs!C8+Inputs!C9</f>
        <v/>
      </c>
      <c r="D3" s="3">
        <f>Inputs!D4+Inputs!D7+Inputs!D8+Inputs!D9</f>
        <v/>
      </c>
    </row>
    <row r="4">
      <c r="A4" t="inlineStr">
        <is>
          <t>Y2</t>
        </is>
      </c>
      <c r="B4" s="3">
        <f>Inputs!B5+Inputs!B7+Inputs!B8</f>
        <v/>
      </c>
      <c r="C4" s="3">
        <f>Inputs!C5+Inputs!C7+Inputs!C8</f>
        <v/>
      </c>
      <c r="D4" s="3">
        <f>Inputs!D5+Inputs!D7+Inputs!D8</f>
        <v/>
      </c>
    </row>
    <row r="5">
      <c r="A5" t="inlineStr">
        <is>
          <t>Y3_net</t>
        </is>
      </c>
      <c r="B5" s="3">
        <f>Inputs!B6+Inputs!B7+Inputs!B8-Inputs!B10</f>
        <v/>
      </c>
      <c r="C5" s="3">
        <f>Inputs!C6+Inputs!C7+Inputs!C8-Inputs!C10</f>
        <v/>
      </c>
      <c r="D5" s="3">
        <f>Inputs!D6+Inputs!D7+Inputs!D8-Inputs!D10</f>
        <v/>
      </c>
    </row>
    <row r="6">
      <c r="A6" t="inlineStr">
        <is>
          <t>Nominal_3yr</t>
        </is>
      </c>
      <c r="B6" s="3">
        <f>B2+B3+B4+B5</f>
        <v/>
      </c>
      <c r="C6" s="3">
        <f>C2+C3+C4+C5</f>
        <v/>
      </c>
      <c r="D6" s="3">
        <f>D2+D3+D4+D5</f>
        <v/>
      </c>
    </row>
    <row r="7">
      <c r="A7" t="inlineStr">
        <is>
          <t>NPV_8pct</t>
        </is>
      </c>
      <c r="B7" s="3">
        <f>B2+B3/(1+Inputs!B11)+B4/(1+Inputs!B11)^2+B5/(1+Inputs!B11)^3</f>
        <v/>
      </c>
      <c r="C7" s="3">
        <f>C2+C3/(1+Inputs!C11)+C4/(1+Inputs!C11)^2+C5/(1+Inputs!C11)^3</f>
        <v/>
      </c>
      <c r="D7" s="3">
        <f>D2+D3/(1+Inputs!D11)+D4/(1+Inputs!D11)^2+D5/(1+Inputs!D11)^3</f>
        <v/>
      </c>
    </row>
    <row r="9">
      <c r="A9" t="inlineStr">
        <is>
          <t>Lowest_NPV</t>
        </is>
      </c>
      <c r="B9">
        <f>INDEX(A7:D7,1,MATCH(MIN(B7:D7),B7:D7,0))</f>
        <v/>
      </c>
    </row>
    <row r="10">
      <c r="A10" t="inlineStr">
        <is>
          <t>Recommend</t>
        </is>
      </c>
      <c r="B10">
        <f>IF(AND(B7&lt;=C7,B7&lt;=D7),"Vendor A",IF(C7&lt;=D7,"Vendor B","Vendor C"))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采购建议（≤500字）</t>
        </is>
      </c>
    </row>
    <row r="3" ht="140" customHeight="1">
      <c r="A3" s="5" t="inlineStr">
        <is>
          <t>财务口径选 Vendor A（NPV 约 1,426.8 千美元最低）。不可只看名义许可：B 许可看起来最低（300 起），但停机 80+迁移 50+支持 65 把 Y1 推到 495，NPV 反高于 A。C 许可和支持最好看、残值 120 有退出回收，但 t0 实施 300 最重，NPV 最高。非价格：A 仅两个同规模客户，C 有六个——实施风险 A 高于 C，与 NPV 排序相反。B 许可逐年上涨且停机假设最不确定，不作主选。建议：以 A 为首选进入谈判，合同写入停机 SLA 与实施验收；并行对 C 做实施风险尽调。若尽调显示 A 交付失败成本接近停机差额，再切换 C。不选 B，除非停机成本能被合同 SLA 实质压到接近 25。敏感性：若 B 停机从 80 降到 25，NPV 可低于 A——故 B 排序高度依赖最不确定假设。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2026-08-13T10:55:39Z</dcterms:created>
  <dcterms:modified xmlns:dcterms="http://purl.org/dc/terms/" xmlns:xsi="http://www.w3.org/2001/XMLSchema-instance" xsi:type="dcterms:W3CDTF">2026-08-13T10:55:39Z</dcterms:modified>
</cp:coreProperties>
</file>