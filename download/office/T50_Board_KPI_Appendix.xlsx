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ecision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2C5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Q2</t>
        </is>
      </c>
      <c r="C1" s="1" t="inlineStr">
        <is>
          <t>Q1</t>
        </is>
      </c>
      <c r="D1" s="1" t="inlineStr">
        <is>
          <t>Q2_LY</t>
        </is>
      </c>
      <c r="E1" s="1" t="inlineStr">
        <is>
          <t>Unit</t>
        </is>
      </c>
    </row>
    <row r="2">
      <c r="A2" t="inlineStr">
        <is>
          <t>ARR_m</t>
        </is>
      </c>
      <c r="B2" t="n">
        <v>120</v>
      </c>
      <c r="C2" t="n">
        <v>110</v>
      </c>
      <c r="D2" t="n">
        <v>95</v>
      </c>
      <c r="E2" t="inlineStr">
        <is>
          <t>$m</t>
        </is>
      </c>
    </row>
    <row r="3">
      <c r="A3" t="inlineStr">
        <is>
          <t>NRR</t>
        </is>
      </c>
      <c r="B3" s="2" t="n">
        <v>1.04</v>
      </c>
      <c r="C3" s="2" t="n">
        <v>1.1</v>
      </c>
      <c r="D3" s="2" t="n">
        <v>1.12</v>
      </c>
      <c r="E3" t="inlineStr">
        <is>
          <t>ratio</t>
        </is>
      </c>
    </row>
    <row r="4">
      <c r="A4" t="inlineStr">
        <is>
          <t>Gross_Margin</t>
        </is>
      </c>
      <c r="B4" s="2" t="n">
        <v>0.68</v>
      </c>
      <c r="C4" s="2" t="n">
        <v>0.72</v>
      </c>
      <c r="D4" s="2" t="n">
        <v>0.7</v>
      </c>
      <c r="E4" t="inlineStr">
        <is>
          <t>%</t>
        </is>
      </c>
    </row>
    <row r="5">
      <c r="A5" t="inlineStr">
        <is>
          <t>Logo_Churn</t>
        </is>
      </c>
      <c r="B5" s="2" t="n">
        <v>0.028</v>
      </c>
      <c r="C5" s="2" t="n">
        <v>0.019</v>
      </c>
      <c r="D5" s="2" t="n">
        <v>0.017</v>
      </c>
      <c r="E5" t="inlineStr">
        <is>
          <t>%</t>
        </is>
      </c>
    </row>
    <row r="6">
      <c r="A6" t="inlineStr">
        <is>
          <t>New_Logos</t>
        </is>
      </c>
      <c r="B6" t="n">
        <v>40</v>
      </c>
      <c r="C6" t="n">
        <v>55</v>
      </c>
      <c r="D6" t="n">
        <v>48</v>
      </c>
      <c r="E6" t="inlineStr">
        <is>
          <t>count</t>
        </is>
      </c>
    </row>
    <row r="7">
      <c r="A7" t="inlineStr">
        <is>
          <t>Cash_m</t>
        </is>
      </c>
      <c r="B7" t="n">
        <v>28</v>
      </c>
      <c r="C7" t="n">
        <v>31</v>
      </c>
      <c r="D7" t="n">
        <v>36</v>
      </c>
      <c r="E7" t="inlineStr">
        <is>
          <t>$m</t>
        </is>
      </c>
    </row>
    <row r="8">
      <c r="A8" t="inlineStr">
        <is>
          <t>Monthly_Burn_m</t>
        </is>
      </c>
      <c r="B8" t="n">
        <v>3</v>
      </c>
      <c r="C8" t="n">
        <v>2.5</v>
      </c>
      <c r="D8" t="n">
        <v>2.2</v>
      </c>
      <c r="E8" t="inlineStr">
        <is>
          <t>$m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</cols>
  <sheetData>
    <row r="1">
      <c r="A1" s="1" t="inlineStr">
        <is>
          <t>Calc</t>
        </is>
      </c>
      <c r="B1" s="1" t="inlineStr">
        <is>
          <t>Formula_result</t>
        </is>
      </c>
      <c r="C1" s="1" t="inlineStr">
        <is>
          <t>Excel</t>
        </is>
      </c>
    </row>
    <row r="2">
      <c r="A2" t="inlineStr">
        <is>
          <t>ARR_QoQ</t>
        </is>
      </c>
      <c r="B2" s="2">
        <f>(KPI!B2-KPI!C2)/KPI!C2</f>
        <v/>
      </c>
      <c r="C2">
        <f>(KPI!B2-KPI!C2)/KPI!C2</f>
        <v/>
      </c>
    </row>
    <row r="3">
      <c r="A3" t="inlineStr">
        <is>
          <t>ARR_YoY</t>
        </is>
      </c>
      <c r="B3" s="2">
        <f>(KPI!B2-KPI!D2)/KPI!D2</f>
        <v/>
      </c>
    </row>
    <row r="4">
      <c r="A4" t="inlineStr">
        <is>
          <t>NRR_pp_vs_Q1</t>
        </is>
      </c>
      <c r="B4" s="2">
        <f>KPI!B3-KPI!C3</f>
        <v/>
      </c>
    </row>
    <row r="5">
      <c r="A5" t="inlineStr">
        <is>
          <t>GM_pp_vs_Q1</t>
        </is>
      </c>
      <c r="B5" s="2">
        <f>KPI!B4-KPI!C4</f>
        <v/>
      </c>
    </row>
    <row r="6">
      <c r="A6" s="3" t="inlineStr">
        <is>
          <t>Churn_pp_vs_Q1</t>
        </is>
      </c>
      <c r="B6" s="2">
        <f>KPI!B5-KPI!C5</f>
        <v/>
      </c>
    </row>
    <row r="7">
      <c r="A7" t="inlineStr">
        <is>
          <t>NewLogos_QoQ</t>
        </is>
      </c>
      <c r="B7" s="2">
        <f>(KPI!B6-KPI!C6)/KPI!C6</f>
        <v/>
      </c>
    </row>
    <row r="8">
      <c r="A8" t="inlineStr">
        <is>
          <t>Cash_QoQ</t>
        </is>
      </c>
      <c r="B8" s="2">
        <f>(KPI!B7-KPI!C7)/KPI!C7</f>
        <v/>
      </c>
    </row>
    <row r="9">
      <c r="A9" t="inlineStr">
        <is>
          <t>Runway_Q2</t>
        </is>
      </c>
      <c r="B9" s="4">
        <f>KPI!B7/KPI!B8</f>
        <v/>
      </c>
    </row>
    <row r="10">
      <c r="A10" t="inlineStr">
        <is>
          <t>Runway_Q1</t>
        </is>
      </c>
      <c r="B10" s="4">
        <f>KPI!C7/KPI!C8</f>
        <v/>
      </c>
    </row>
    <row r="11">
      <c r="A11" t="inlineStr">
        <is>
          <t>Price_uplift_theoretical</t>
        </is>
      </c>
      <c r="B11" s="5">
        <f>0.08*KPI!B2</f>
        <v/>
      </c>
    </row>
    <row r="12">
      <c r="A12" t="inlineStr">
        <is>
          <t>Onboarding_cost</t>
        </is>
      </c>
      <c r="B12" t="n">
        <v>0.36</v>
      </c>
    </row>
    <row r="13">
      <c r="A13" t="inlineStr">
        <is>
          <t>SLA_eng_cost</t>
        </is>
      </c>
      <c r="B13" t="n">
        <v>0.25</v>
      </c>
    </row>
    <row r="14">
      <c r="A14" t="inlineStr">
        <is>
          <t>Combined_D1D2</t>
        </is>
      </c>
      <c r="B14">
        <f>B12+B13</f>
        <v/>
      </c>
    </row>
    <row r="16">
      <c r="A16" t="inlineStr">
        <is>
          <t>All self-calculated figures in the memo/PPT are sourced from this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36" customWidth="1" min="4" max="4"/>
    <col width="40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Decision</t>
        </is>
      </c>
      <c r="C1" s="1" t="inlineStr">
        <is>
          <t>Spend</t>
        </is>
      </c>
      <c r="D1" s="1" t="inlineStr">
        <is>
          <t>Benefit_claimed</t>
        </is>
      </c>
      <c r="E1" s="1" t="inlineStr">
        <is>
          <t>Evidence</t>
        </is>
      </c>
      <c r="F1" s="1" t="inlineStr">
        <is>
          <t>Board_vote</t>
        </is>
      </c>
    </row>
    <row r="2">
      <c r="A2" t="inlineStr">
        <is>
          <t>D1</t>
        </is>
      </c>
      <c r="B2" t="inlineStr">
        <is>
          <t>2 onboarding managers</t>
        </is>
      </c>
      <c r="C2" t="inlineStr">
        <is>
          <t>0.36m/yr (=Calculations!B12)</t>
        </is>
      </c>
      <c r="D2" t="inlineStr">
        <is>
          <t>10→7 weeks</t>
        </is>
      </c>
      <c r="E2" t="inlineStr">
        <is>
          <t>unpiloted past-project estimate</t>
        </is>
      </c>
      <c r="F2" t="inlineStr">
        <is>
          <t>Approve as pilot</t>
        </is>
      </c>
    </row>
    <row r="3">
      <c r="A3" t="inlineStr">
        <is>
          <t>D2</t>
        </is>
      </c>
      <c r="B3" t="inlineStr">
        <is>
          <t>Premium SLA build</t>
        </is>
      </c>
      <c r="C3" t="inlineStr">
        <is>
          <t>0.25m once, earliest Q4 (=Calculations!B13)</t>
        </is>
      </c>
      <c r="D3" t="inlineStr">
        <is>
          <t>productize 99.95%</t>
        </is>
      </c>
      <c r="E3" t="inlineStr">
        <is>
          <t>pricing unknown; 2 logos willing</t>
        </is>
      </c>
      <c r="F3" t="inlineStr">
        <is>
          <t>Approve build; no customer commit</t>
        </is>
      </c>
    </row>
    <row r="4">
      <c r="A4" t="inlineStr">
        <is>
          <t>D3</t>
        </is>
      </c>
      <c r="B4" t="inlineStr">
        <is>
          <t>Raise all prices 8%</t>
        </is>
      </c>
      <c r="C4" t="n">
        <v>0</v>
      </c>
      <c r="D4" t="inlineStr">
        <is>
          <t>theoretical +9.6m ARR (=Calculations!B11)</t>
        </is>
      </c>
      <c r="E4" t="inlineStr">
        <is>
          <t>no elasticity; conflicts with churn/NRR</t>
        </is>
      </c>
      <c r="F4" t="inlineStr">
        <is>
          <t>Reject</t>
        </is>
      </c>
    </row>
    <row r="6">
      <c r="B6" t="inlineStr">
        <is>
          <t>Linked spend checks</t>
        </is>
      </c>
      <c r="C6">
        <f>Calculations!B12</f>
        <v/>
      </c>
      <c r="D6">
        <f>Calculations!B13</f>
        <v/>
      </c>
      <c r="E6">
        <f>Calculations!B11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2026-08-13T10:55:39Z</dcterms:created>
  <dcterms:modified xmlns:dcterms="http://purl.org/dc/terms/" xmlns:xsi="http://www.w3.org/2001/XMLSchema-instance" xsi:type="dcterms:W3CDTF">2026-08-13T10:55:40Z</dcterms:modified>
</cp:coreProperties>
</file>