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Rep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Status</t>
        </is>
      </c>
      <c r="J1" t="inlineStr">
        <is>
          <t>NOTE</t>
        </is>
      </c>
    </row>
    <row r="2">
      <c r="A2" t="n">
        <v>1001</v>
      </c>
      <c r="B2" t="inlineStr">
        <is>
          <t>2026-07-01</t>
        </is>
      </c>
      <c r="C2" t="inlineStr">
        <is>
          <t>North</t>
        </is>
      </c>
      <c r="D2" t="inlineStr">
        <is>
          <t>A. Chen</t>
        </is>
      </c>
      <c r="E2" t="inlineStr">
        <is>
          <t>Alpha</t>
        </is>
      </c>
      <c r="F2" t="n">
        <v>10</v>
      </c>
      <c r="G2" t="n">
        <v>120</v>
      </c>
      <c r="H2" t="inlineStr">
        <is>
          <t>Completed</t>
        </is>
      </c>
      <c r="J2" t="inlineStr">
        <is>
          <t>15 rows including one exact duplicate of Order 1007. Do not delete similar-but-not-identical orders (1001 vs 1010).</t>
        </is>
      </c>
    </row>
    <row r="3">
      <c r="A3" t="n">
        <v>1002</v>
      </c>
      <c r="B3" t="inlineStr">
        <is>
          <t>7/1/2026</t>
        </is>
      </c>
      <c r="C3" t="inlineStr">
        <is>
          <t>north</t>
        </is>
      </c>
      <c r="D3" t="inlineStr">
        <is>
          <t>Alex Chen</t>
        </is>
      </c>
      <c r="E3" t="inlineStr">
        <is>
          <t>Beta</t>
        </is>
      </c>
      <c r="F3" t="n">
        <v>5</v>
      </c>
      <c r="G3" t="n">
        <v>200</v>
      </c>
      <c r="H3" t="inlineStr">
        <is>
          <t>Completed</t>
        </is>
      </c>
    </row>
    <row r="4">
      <c r="A4" t="n">
        <v>1003</v>
      </c>
      <c r="B4" t="inlineStr">
        <is>
          <t>2026/07/02</t>
        </is>
      </c>
      <c r="C4" t="inlineStr">
        <is>
          <t>SOUTH</t>
        </is>
      </c>
      <c r="D4" t="inlineStr">
        <is>
          <t>Maria Li</t>
        </is>
      </c>
      <c r="E4" t="inlineStr">
        <is>
          <t>Alpha</t>
        </is>
      </c>
      <c r="F4" t="n">
        <v>8</v>
      </c>
      <c r="G4" t="n">
        <v>120</v>
      </c>
      <c r="H4" t="inlineStr">
        <is>
          <t>Completed</t>
        </is>
      </c>
    </row>
    <row r="5">
      <c r="A5" t="n">
        <v>1004</v>
      </c>
      <c r="B5" t="inlineStr">
        <is>
          <t>02-Jul-2026</t>
        </is>
      </c>
      <c r="C5" t="inlineStr">
        <is>
          <t>South</t>
        </is>
      </c>
      <c r="D5" t="inlineStr">
        <is>
          <t>Maria Li</t>
        </is>
      </c>
      <c r="E5" t="inlineStr">
        <is>
          <t>Gamma</t>
        </is>
      </c>
      <c r="F5" t="n">
        <v>3</v>
      </c>
      <c r="G5" t="n">
        <v>500</v>
      </c>
      <c r="H5" t="inlineStr">
        <is>
          <t>Cancelled</t>
        </is>
      </c>
    </row>
    <row r="6">
      <c r="A6" t="n">
        <v>1005</v>
      </c>
      <c r="B6" t="inlineStr">
        <is>
          <t>2026-07-03</t>
        </is>
      </c>
      <c r="C6" t="inlineStr">
        <is>
          <t>East</t>
        </is>
      </c>
      <c r="D6" t="inlineStr">
        <is>
          <t>Sam Wu</t>
        </is>
      </c>
      <c r="E6" t="inlineStr">
        <is>
          <t>Alpha</t>
        </is>
      </c>
      <c r="F6" t="n">
        <v>-2</v>
      </c>
      <c r="G6" t="n">
        <v>120</v>
      </c>
      <c r="H6" t="inlineStr">
        <is>
          <t>Refund</t>
        </is>
      </c>
    </row>
    <row r="7">
      <c r="A7" t="n">
        <v>1006</v>
      </c>
      <c r="B7" t="inlineStr">
        <is>
          <t>2026-07-03</t>
        </is>
      </c>
      <c r="C7" t="inlineStr">
        <is>
          <t>east</t>
        </is>
      </c>
      <c r="D7" t="inlineStr">
        <is>
          <t>Sam Wu</t>
        </is>
      </c>
      <c r="E7" t="inlineStr">
        <is>
          <t>Beta</t>
        </is>
      </c>
      <c r="F7" t="n">
        <v>4</v>
      </c>
      <c r="G7" t="n">
        <v>200</v>
      </c>
      <c r="H7" t="inlineStr">
        <is>
          <t>Completed</t>
        </is>
      </c>
    </row>
    <row r="8">
      <c r="A8" t="n">
        <v>1007</v>
      </c>
      <c r="B8" t="inlineStr">
        <is>
          <t>2026-07-04</t>
        </is>
      </c>
      <c r="C8" t="inlineStr">
        <is>
          <t>West</t>
        </is>
      </c>
      <c r="D8" t="inlineStr">
        <is>
          <t>Nina Ko</t>
        </is>
      </c>
      <c r="E8" t="inlineStr">
        <is>
          <t>Gamma</t>
        </is>
      </c>
      <c r="F8" t="n">
        <v>2</v>
      </c>
      <c r="G8" t="n">
        <v>500</v>
      </c>
      <c r="H8" t="inlineStr">
        <is>
          <t>Completed</t>
        </is>
      </c>
    </row>
    <row r="9">
      <c r="A9" t="n">
        <v>1007</v>
      </c>
      <c r="B9" t="inlineStr">
        <is>
          <t>2026-07-04</t>
        </is>
      </c>
      <c r="C9" t="inlineStr">
        <is>
          <t>West</t>
        </is>
      </c>
      <c r="D9" t="inlineStr">
        <is>
          <t>Nina Ko</t>
        </is>
      </c>
      <c r="E9" t="inlineStr">
        <is>
          <t>Gamma</t>
        </is>
      </c>
      <c r="F9" t="n">
        <v>2</v>
      </c>
      <c r="G9" t="n">
        <v>500</v>
      </c>
      <c r="H9" t="inlineStr">
        <is>
          <t>Completed</t>
        </is>
      </c>
    </row>
    <row r="10">
      <c r="A10" t="n">
        <v>1008</v>
      </c>
      <c r="B10" t="inlineStr">
        <is>
          <t>2026-07-05</t>
        </is>
      </c>
      <c r="C10" t="inlineStr">
        <is>
          <t>west</t>
        </is>
      </c>
      <c r="D10" t="inlineStr">
        <is>
          <t>Nina K.</t>
        </is>
      </c>
      <c r="E10" t="inlineStr">
        <is>
          <t>Alpha</t>
        </is>
      </c>
      <c r="F10" t="n">
        <v>6</v>
      </c>
      <c r="G10" t="n">
        <v>120</v>
      </c>
      <c r="H10" t="inlineStr">
        <is>
          <t>Completed</t>
        </is>
      </c>
    </row>
    <row r="11">
      <c r="A11" t="n">
        <v>1009</v>
      </c>
      <c r="B11" t="inlineStr">
        <is>
          <t>2026-07-05</t>
        </is>
      </c>
      <c r="C11" t="inlineStr"/>
      <c r="D11" t="inlineStr">
        <is>
          <t>Jordan</t>
        </is>
      </c>
      <c r="E11" t="inlineStr">
        <is>
          <t>Beta</t>
        </is>
      </c>
      <c r="F11" t="n">
        <v>7</v>
      </c>
      <c r="G11" t="n">
        <v>200</v>
      </c>
      <c r="H11" t="inlineStr">
        <is>
          <t>Completed</t>
        </is>
      </c>
    </row>
    <row r="12">
      <c r="A12" t="n">
        <v>1010</v>
      </c>
      <c r="B12" t="inlineStr">
        <is>
          <t>2026-07-06</t>
        </is>
      </c>
      <c r="C12" t="inlineStr">
        <is>
          <t>North</t>
        </is>
      </c>
      <c r="D12" t="inlineStr">
        <is>
          <t>A Chen</t>
        </is>
      </c>
      <c r="E12" t="inlineStr">
        <is>
          <t>Alpha</t>
        </is>
      </c>
      <c r="F12" t="n">
        <v>10</v>
      </c>
      <c r="G12" t="n">
        <v>120</v>
      </c>
      <c r="H12" t="inlineStr">
        <is>
          <t>Completed</t>
        </is>
      </c>
    </row>
    <row r="13">
      <c r="A13" t="n">
        <v>1011</v>
      </c>
      <c r="B13" t="inlineStr">
        <is>
          <t>2026-07-06</t>
        </is>
      </c>
      <c r="C13" t="inlineStr">
        <is>
          <t>North</t>
        </is>
      </c>
      <c r="D13" t="inlineStr">
        <is>
          <t>Alex Chen</t>
        </is>
      </c>
      <c r="E13" t="inlineStr">
        <is>
          <t>Beta</t>
        </is>
      </c>
      <c r="F13" t="n">
        <v>5</v>
      </c>
      <c r="G13" t="n">
        <v>200</v>
      </c>
      <c r="H13" t="inlineStr">
        <is>
          <t>Pending</t>
        </is>
      </c>
    </row>
    <row r="14">
      <c r="A14" t="n">
        <v>1012</v>
      </c>
      <c r="B14" t="inlineStr">
        <is>
          <t>2026-07-07</t>
        </is>
      </c>
      <c r="C14" t="inlineStr">
        <is>
          <t>East</t>
        </is>
      </c>
      <c r="D14" t="inlineStr">
        <is>
          <t>Sam Wu</t>
        </is>
      </c>
      <c r="E14" t="inlineStr">
        <is>
          <t>Gamma</t>
        </is>
      </c>
      <c r="F14" t="n">
        <v>1</v>
      </c>
      <c r="G14" t="n">
        <v>500</v>
      </c>
      <c r="H14" t="inlineStr">
        <is>
          <t>Completed</t>
        </is>
      </c>
    </row>
    <row r="15">
      <c r="A15" t="n">
        <v>1013</v>
      </c>
      <c r="B15" t="inlineStr">
        <is>
          <t>2026-07-07</t>
        </is>
      </c>
      <c r="C15" t="inlineStr">
        <is>
          <t>South</t>
        </is>
      </c>
      <c r="D15" t="inlineStr">
        <is>
          <t>Maria Li</t>
        </is>
      </c>
      <c r="E15" t="inlineStr">
        <is>
          <t>Beta</t>
        </is>
      </c>
      <c r="F15" t="n">
        <v>5</v>
      </c>
      <c r="G15" t="n">
        <v>200</v>
      </c>
      <c r="H15" t="inlineStr">
        <is>
          <t>Completed</t>
        </is>
      </c>
    </row>
    <row r="16">
      <c r="A16" t="n">
        <v>1014</v>
      </c>
      <c r="B16" t="inlineStr">
        <is>
          <t>2026-07-08</t>
        </is>
      </c>
      <c r="C16" t="inlineStr">
        <is>
          <t>West</t>
        </is>
      </c>
      <c r="D16" t="inlineStr">
        <is>
          <t>Nina Ko</t>
        </is>
      </c>
      <c r="E16" t="inlineStr">
        <is>
          <t>Alpha</t>
        </is>
      </c>
      <c r="F16" t="n">
        <v>-3</v>
      </c>
      <c r="G16" t="n">
        <v>120</v>
      </c>
      <c r="H16" t="inlineStr">
        <is>
          <t>Refund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Order_ID</t>
        </is>
      </c>
      <c r="B1" s="1" t="inlineStr">
        <is>
          <t>Date_ISO</t>
        </is>
      </c>
      <c r="C1" s="1" t="inlineStr">
        <is>
          <t>Region_Raw</t>
        </is>
      </c>
      <c r="D1" s="1" t="inlineStr">
        <is>
          <t>Region</t>
        </is>
      </c>
      <c r="E1" s="1" t="inlineStr">
        <is>
          <t>Rep_Raw</t>
        </is>
      </c>
      <c r="F1" s="1" t="inlineStr">
        <is>
          <t>Rep</t>
        </is>
      </c>
      <c r="G1" s="1" t="inlineStr">
        <is>
          <t>Product</t>
        </is>
      </c>
      <c r="H1" s="1" t="inlineStr">
        <is>
          <t>Units</t>
        </is>
      </c>
      <c r="I1" s="1" t="inlineStr">
        <is>
          <t>Unit_Price</t>
        </is>
      </c>
      <c r="J1" s="1" t="inlineStr">
        <is>
          <t>Status</t>
        </is>
      </c>
      <c r="K1" s="1" t="inlineStr">
        <is>
          <t>Net_Revenue</t>
        </is>
      </c>
      <c r="L1" s="1" t="inlineStr">
        <is>
          <t>Raw_Row</t>
        </is>
      </c>
      <c r="N1" t="inlineStr">
        <is>
          <t>Rules</t>
        </is>
      </c>
    </row>
    <row r="2">
      <c r="A2" s="2">
        <f>Raw!A2</f>
        <v/>
      </c>
      <c r="B2" s="2" t="inlineStr">
        <is>
          <t>2026-07-01</t>
        </is>
      </c>
      <c r="C2" s="2">
        <f>Raw!C2</f>
        <v/>
      </c>
      <c r="D2" s="2">
        <f>IF(TRIM(C2)="","Unknown",UPPER(LEFT(TRIM(C2),1))&amp;LOWER(MID(TRIM(C2),2,99)))</f>
        <v/>
      </c>
      <c r="E2" s="2">
        <f>Raw!D2</f>
        <v/>
      </c>
      <c r="F2" s="2">
        <f>IFS(OR(E2="A. Chen",E2="A Chen",E2="Alex Chen"),"Alex Chen",OR(E2="Nina K.",E2="Nina Ko"),"Nina Ko",TRUE,E2)</f>
        <v/>
      </c>
      <c r="G2" s="2">
        <f>Raw!E2</f>
        <v/>
      </c>
      <c r="H2" s="2">
        <f>Raw!F2</f>
        <v/>
      </c>
      <c r="I2" s="2">
        <f>Raw!G2</f>
        <v/>
      </c>
      <c r="J2" s="2">
        <f>Raw!H2</f>
        <v/>
      </c>
      <c r="K2" s="3">
        <f>IF(J2="Completed",H2*I2,IF(J2="Refund",H2*I2,0))</f>
        <v/>
      </c>
      <c r="L2" s="2" t="n">
        <v>2</v>
      </c>
      <c r="N2" t="inlineStr">
        <is>
          <t>Drop exact duplicate of 1007 (Raw row 9). Keep 1001 and 1010 (different dates). Completed=Units*Price; Refund=Units*Price (units already negative); Cancelled/Pending=0.</t>
        </is>
      </c>
    </row>
    <row r="3">
      <c r="A3" s="2">
        <f>Raw!A3</f>
        <v/>
      </c>
      <c r="B3" s="2" t="inlineStr">
        <is>
          <t>2026-07-01</t>
        </is>
      </c>
      <c r="C3" s="2">
        <f>Raw!C3</f>
        <v/>
      </c>
      <c r="D3" s="2">
        <f>IF(TRIM(C3)="","Unknown",UPPER(LEFT(TRIM(C3),1))&amp;LOWER(MID(TRIM(C3),2,99)))</f>
        <v/>
      </c>
      <c r="E3" s="2">
        <f>Raw!D3</f>
        <v/>
      </c>
      <c r="F3" s="2">
        <f>IFS(OR(E3="A. Chen",E3="A Chen",E3="Alex Chen"),"Alex Chen",OR(E3="Nina K.",E3="Nina Ko"),"Nina Ko",TRUE,E3)</f>
        <v/>
      </c>
      <c r="G3" s="2">
        <f>Raw!E3</f>
        <v/>
      </c>
      <c r="H3" s="2">
        <f>Raw!F3</f>
        <v/>
      </c>
      <c r="I3" s="2">
        <f>Raw!G3</f>
        <v/>
      </c>
      <c r="J3" s="2">
        <f>Raw!H3</f>
        <v/>
      </c>
      <c r="K3" s="3">
        <f>IF(J3="Completed",H3*I3,IF(J3="Refund",H3*I3,0))</f>
        <v/>
      </c>
      <c r="L3" s="2" t="n">
        <v>3</v>
      </c>
    </row>
    <row r="4">
      <c r="A4" s="2">
        <f>Raw!A4</f>
        <v/>
      </c>
      <c r="B4" s="2" t="inlineStr">
        <is>
          <t>2026-07-02</t>
        </is>
      </c>
      <c r="C4" s="2">
        <f>Raw!C4</f>
        <v/>
      </c>
      <c r="D4" s="2">
        <f>IF(TRIM(C4)="","Unknown",UPPER(LEFT(TRIM(C4),1))&amp;LOWER(MID(TRIM(C4),2,99)))</f>
        <v/>
      </c>
      <c r="E4" s="2">
        <f>Raw!D4</f>
        <v/>
      </c>
      <c r="F4" s="2">
        <f>IFS(OR(E4="A. Chen",E4="A Chen",E4="Alex Chen"),"Alex Chen",OR(E4="Nina K.",E4="Nina Ko"),"Nina Ko",TRUE,E4)</f>
        <v/>
      </c>
      <c r="G4" s="2">
        <f>Raw!E4</f>
        <v/>
      </c>
      <c r="H4" s="2">
        <f>Raw!F4</f>
        <v/>
      </c>
      <c r="I4" s="2">
        <f>Raw!G4</f>
        <v/>
      </c>
      <c r="J4" s="2">
        <f>Raw!H4</f>
        <v/>
      </c>
      <c r="K4" s="3">
        <f>IF(J4="Completed",H4*I4,IF(J4="Refund",H4*I4,0))</f>
        <v/>
      </c>
      <c r="L4" s="2" t="n">
        <v>4</v>
      </c>
    </row>
    <row r="5">
      <c r="A5" s="2">
        <f>Raw!A5</f>
        <v/>
      </c>
      <c r="B5" s="2" t="inlineStr">
        <is>
          <t>2026-07-02</t>
        </is>
      </c>
      <c r="C5" s="2">
        <f>Raw!C5</f>
        <v/>
      </c>
      <c r="D5" s="2">
        <f>IF(TRIM(C5)="","Unknown",UPPER(LEFT(TRIM(C5),1))&amp;LOWER(MID(TRIM(C5),2,99)))</f>
        <v/>
      </c>
      <c r="E5" s="2">
        <f>Raw!D5</f>
        <v/>
      </c>
      <c r="F5" s="2">
        <f>IFS(OR(E5="A. Chen",E5="A Chen",E5="Alex Chen"),"Alex Chen",OR(E5="Nina K.",E5="Nina Ko"),"Nina Ko",TRUE,E5)</f>
        <v/>
      </c>
      <c r="G5" s="2">
        <f>Raw!E5</f>
        <v/>
      </c>
      <c r="H5" s="2">
        <f>Raw!F5</f>
        <v/>
      </c>
      <c r="I5" s="2">
        <f>Raw!G5</f>
        <v/>
      </c>
      <c r="J5" s="2">
        <f>Raw!H5</f>
        <v/>
      </c>
      <c r="K5" s="3">
        <f>IF(J5="Completed",H5*I5,IF(J5="Refund",H5*I5,0))</f>
        <v/>
      </c>
      <c r="L5" s="2" t="n">
        <v>5</v>
      </c>
    </row>
    <row r="6">
      <c r="A6" s="2">
        <f>Raw!A6</f>
        <v/>
      </c>
      <c r="B6" s="2" t="inlineStr">
        <is>
          <t>2026-07-03</t>
        </is>
      </c>
      <c r="C6" s="2">
        <f>Raw!C6</f>
        <v/>
      </c>
      <c r="D6" s="2">
        <f>IF(TRIM(C6)="","Unknown",UPPER(LEFT(TRIM(C6),1))&amp;LOWER(MID(TRIM(C6),2,99)))</f>
        <v/>
      </c>
      <c r="E6" s="2">
        <f>Raw!D6</f>
        <v/>
      </c>
      <c r="F6" s="2">
        <f>IFS(OR(E6="A. Chen",E6="A Chen",E6="Alex Chen"),"Alex Chen",OR(E6="Nina K.",E6="Nina Ko"),"Nina Ko",TRUE,E6)</f>
        <v/>
      </c>
      <c r="G6" s="2">
        <f>Raw!E6</f>
        <v/>
      </c>
      <c r="H6" s="2">
        <f>Raw!F6</f>
        <v/>
      </c>
      <c r="I6" s="2">
        <f>Raw!G6</f>
        <v/>
      </c>
      <c r="J6" s="2">
        <f>Raw!H6</f>
        <v/>
      </c>
      <c r="K6" s="3">
        <f>IF(J6="Completed",H6*I6,IF(J6="Refund",H6*I6,0))</f>
        <v/>
      </c>
      <c r="L6" s="2" t="n">
        <v>6</v>
      </c>
    </row>
    <row r="7">
      <c r="A7" s="2">
        <f>Raw!A7</f>
        <v/>
      </c>
      <c r="B7" s="2" t="inlineStr">
        <is>
          <t>2026-07-03</t>
        </is>
      </c>
      <c r="C7" s="2">
        <f>Raw!C7</f>
        <v/>
      </c>
      <c r="D7" s="2">
        <f>IF(TRIM(C7)="","Unknown",UPPER(LEFT(TRIM(C7),1))&amp;LOWER(MID(TRIM(C7),2,99)))</f>
        <v/>
      </c>
      <c r="E7" s="2">
        <f>Raw!D7</f>
        <v/>
      </c>
      <c r="F7" s="2">
        <f>IFS(OR(E7="A. Chen",E7="A Chen",E7="Alex Chen"),"Alex Chen",OR(E7="Nina K.",E7="Nina Ko"),"Nina Ko",TRUE,E7)</f>
        <v/>
      </c>
      <c r="G7" s="2">
        <f>Raw!E7</f>
        <v/>
      </c>
      <c r="H7" s="2">
        <f>Raw!F7</f>
        <v/>
      </c>
      <c r="I7" s="2">
        <f>Raw!G7</f>
        <v/>
      </c>
      <c r="J7" s="2">
        <f>Raw!H7</f>
        <v/>
      </c>
      <c r="K7" s="3">
        <f>IF(J7="Completed",H7*I7,IF(J7="Refund",H7*I7,0))</f>
        <v/>
      </c>
      <c r="L7" s="2" t="n">
        <v>7</v>
      </c>
    </row>
    <row r="8">
      <c r="A8" s="2">
        <f>Raw!A8</f>
        <v/>
      </c>
      <c r="B8" s="2" t="inlineStr">
        <is>
          <t>2026-07-04</t>
        </is>
      </c>
      <c r="C8" s="2">
        <f>Raw!C8</f>
        <v/>
      </c>
      <c r="D8" s="2">
        <f>IF(TRIM(C8)="","Unknown",UPPER(LEFT(TRIM(C8),1))&amp;LOWER(MID(TRIM(C8),2,99)))</f>
        <v/>
      </c>
      <c r="E8" s="2">
        <f>Raw!D8</f>
        <v/>
      </c>
      <c r="F8" s="2">
        <f>IFS(OR(E8="A. Chen",E8="A Chen",E8="Alex Chen"),"Alex Chen",OR(E8="Nina K.",E8="Nina Ko"),"Nina Ko",TRUE,E8)</f>
        <v/>
      </c>
      <c r="G8" s="2">
        <f>Raw!E8</f>
        <v/>
      </c>
      <c r="H8" s="2">
        <f>Raw!F8</f>
        <v/>
      </c>
      <c r="I8" s="2">
        <f>Raw!G8</f>
        <v/>
      </c>
      <c r="J8" s="2">
        <f>Raw!H8</f>
        <v/>
      </c>
      <c r="K8" s="3">
        <f>IF(J8="Completed",H8*I8,IF(J8="Refund",H8*I8,0))</f>
        <v/>
      </c>
      <c r="L8" s="2" t="n">
        <v>8</v>
      </c>
    </row>
    <row r="9">
      <c r="A9" s="2">
        <f>Raw!A10</f>
        <v/>
      </c>
      <c r="B9" s="2" t="inlineStr">
        <is>
          <t>2026-07-05</t>
        </is>
      </c>
      <c r="C9" s="2">
        <f>Raw!C10</f>
        <v/>
      </c>
      <c r="D9" s="2">
        <f>IF(TRIM(C9)="","Unknown",UPPER(LEFT(TRIM(C9),1))&amp;LOWER(MID(TRIM(C9),2,99)))</f>
        <v/>
      </c>
      <c r="E9" s="2">
        <f>Raw!D10</f>
        <v/>
      </c>
      <c r="F9" s="2">
        <f>IFS(OR(E9="A. Chen",E9="A Chen",E9="Alex Chen"),"Alex Chen",OR(E9="Nina K.",E9="Nina Ko"),"Nina Ko",TRUE,E9)</f>
        <v/>
      </c>
      <c r="G9" s="2">
        <f>Raw!E10</f>
        <v/>
      </c>
      <c r="H9" s="2">
        <f>Raw!F10</f>
        <v/>
      </c>
      <c r="I9" s="2">
        <f>Raw!G10</f>
        <v/>
      </c>
      <c r="J9" s="2">
        <f>Raw!H10</f>
        <v/>
      </c>
      <c r="K9" s="3">
        <f>IF(J9="Completed",H9*I9,IF(J9="Refund",H9*I9,0))</f>
        <v/>
      </c>
      <c r="L9" s="2" t="n">
        <v>10</v>
      </c>
    </row>
    <row r="10">
      <c r="A10" s="2">
        <f>Raw!A11</f>
        <v/>
      </c>
      <c r="B10" s="2" t="inlineStr">
        <is>
          <t>2026-07-05</t>
        </is>
      </c>
      <c r="C10" s="2">
        <f>Raw!C11</f>
        <v/>
      </c>
      <c r="D10" s="2">
        <f>IF(TRIM(C10)="","Unknown",UPPER(LEFT(TRIM(C10),1))&amp;LOWER(MID(TRIM(C10),2,99)))</f>
        <v/>
      </c>
      <c r="E10" s="2">
        <f>Raw!D11</f>
        <v/>
      </c>
      <c r="F10" s="2">
        <f>IFS(OR(E10="A. Chen",E10="A Chen",E10="Alex Chen"),"Alex Chen",OR(E10="Nina K.",E10="Nina Ko"),"Nina Ko",TRUE,E10)</f>
        <v/>
      </c>
      <c r="G10" s="2">
        <f>Raw!E11</f>
        <v/>
      </c>
      <c r="H10" s="2">
        <f>Raw!F11</f>
        <v/>
      </c>
      <c r="I10" s="2">
        <f>Raw!G11</f>
        <v/>
      </c>
      <c r="J10" s="2">
        <f>Raw!H11</f>
        <v/>
      </c>
      <c r="K10" s="3">
        <f>IF(J10="Completed",H10*I10,IF(J10="Refund",H10*I10,0))</f>
        <v/>
      </c>
      <c r="L10" s="2" t="n">
        <v>11</v>
      </c>
    </row>
    <row r="11">
      <c r="A11" s="2">
        <f>Raw!A12</f>
        <v/>
      </c>
      <c r="B11" s="2" t="inlineStr">
        <is>
          <t>2026-07-06</t>
        </is>
      </c>
      <c r="C11" s="2">
        <f>Raw!C12</f>
        <v/>
      </c>
      <c r="D11" s="2">
        <f>IF(TRIM(C11)="","Unknown",UPPER(LEFT(TRIM(C11),1))&amp;LOWER(MID(TRIM(C11),2,99)))</f>
        <v/>
      </c>
      <c r="E11" s="2">
        <f>Raw!D12</f>
        <v/>
      </c>
      <c r="F11" s="2">
        <f>IFS(OR(E11="A. Chen",E11="A Chen",E11="Alex Chen"),"Alex Chen",OR(E11="Nina K.",E11="Nina Ko"),"Nina Ko",TRUE,E11)</f>
        <v/>
      </c>
      <c r="G11" s="2">
        <f>Raw!E12</f>
        <v/>
      </c>
      <c r="H11" s="2">
        <f>Raw!F12</f>
        <v/>
      </c>
      <c r="I11" s="2">
        <f>Raw!G12</f>
        <v/>
      </c>
      <c r="J11" s="2">
        <f>Raw!H12</f>
        <v/>
      </c>
      <c r="K11" s="3">
        <f>IF(J11="Completed",H11*I11,IF(J11="Refund",H11*I11,0))</f>
        <v/>
      </c>
      <c r="L11" s="2" t="n">
        <v>12</v>
      </c>
    </row>
    <row r="12">
      <c r="A12" s="2">
        <f>Raw!A13</f>
        <v/>
      </c>
      <c r="B12" s="2" t="inlineStr">
        <is>
          <t>2026-07-06</t>
        </is>
      </c>
      <c r="C12" s="2">
        <f>Raw!C13</f>
        <v/>
      </c>
      <c r="D12" s="2">
        <f>IF(TRIM(C12)="","Unknown",UPPER(LEFT(TRIM(C12),1))&amp;LOWER(MID(TRIM(C12),2,99)))</f>
        <v/>
      </c>
      <c r="E12" s="2">
        <f>Raw!D13</f>
        <v/>
      </c>
      <c r="F12" s="2">
        <f>IFS(OR(E12="A. Chen",E12="A Chen",E12="Alex Chen"),"Alex Chen",OR(E12="Nina K.",E12="Nina Ko"),"Nina Ko",TRUE,E12)</f>
        <v/>
      </c>
      <c r="G12" s="2">
        <f>Raw!E13</f>
        <v/>
      </c>
      <c r="H12" s="2">
        <f>Raw!F13</f>
        <v/>
      </c>
      <c r="I12" s="2">
        <f>Raw!G13</f>
        <v/>
      </c>
      <c r="J12" s="2">
        <f>Raw!H13</f>
        <v/>
      </c>
      <c r="K12" s="3">
        <f>IF(J12="Completed",H12*I12,IF(J12="Refund",H12*I12,0))</f>
        <v/>
      </c>
      <c r="L12" s="2" t="n">
        <v>13</v>
      </c>
    </row>
    <row r="13">
      <c r="A13" s="2">
        <f>Raw!A14</f>
        <v/>
      </c>
      <c r="B13" s="2" t="inlineStr">
        <is>
          <t>2026-07-07</t>
        </is>
      </c>
      <c r="C13" s="2">
        <f>Raw!C14</f>
        <v/>
      </c>
      <c r="D13" s="2">
        <f>IF(TRIM(C13)="","Unknown",UPPER(LEFT(TRIM(C13),1))&amp;LOWER(MID(TRIM(C13),2,99)))</f>
        <v/>
      </c>
      <c r="E13" s="2">
        <f>Raw!D14</f>
        <v/>
      </c>
      <c r="F13" s="2">
        <f>IFS(OR(E13="A. Chen",E13="A Chen",E13="Alex Chen"),"Alex Chen",OR(E13="Nina K.",E13="Nina Ko"),"Nina Ko",TRUE,E13)</f>
        <v/>
      </c>
      <c r="G13" s="2">
        <f>Raw!E14</f>
        <v/>
      </c>
      <c r="H13" s="2">
        <f>Raw!F14</f>
        <v/>
      </c>
      <c r="I13" s="2">
        <f>Raw!G14</f>
        <v/>
      </c>
      <c r="J13" s="2">
        <f>Raw!H14</f>
        <v/>
      </c>
      <c r="K13" s="3">
        <f>IF(J13="Completed",H13*I13,IF(J13="Refund",H13*I13,0))</f>
        <v/>
      </c>
      <c r="L13" s="2" t="n">
        <v>14</v>
      </c>
    </row>
    <row r="14">
      <c r="A14" s="2">
        <f>Raw!A15</f>
        <v/>
      </c>
      <c r="B14" s="2" t="inlineStr">
        <is>
          <t>2026-07-07</t>
        </is>
      </c>
      <c r="C14" s="2">
        <f>Raw!C15</f>
        <v/>
      </c>
      <c r="D14" s="2">
        <f>IF(TRIM(C14)="","Unknown",UPPER(LEFT(TRIM(C14),1))&amp;LOWER(MID(TRIM(C14),2,99)))</f>
        <v/>
      </c>
      <c r="E14" s="2">
        <f>Raw!D15</f>
        <v/>
      </c>
      <c r="F14" s="2">
        <f>IFS(OR(E14="A. Chen",E14="A Chen",E14="Alex Chen"),"Alex Chen",OR(E14="Nina K.",E14="Nina Ko"),"Nina Ko",TRUE,E14)</f>
        <v/>
      </c>
      <c r="G14" s="2">
        <f>Raw!E15</f>
        <v/>
      </c>
      <c r="H14" s="2">
        <f>Raw!F15</f>
        <v/>
      </c>
      <c r="I14" s="2">
        <f>Raw!G15</f>
        <v/>
      </c>
      <c r="J14" s="2">
        <f>Raw!H15</f>
        <v/>
      </c>
      <c r="K14" s="3">
        <f>IF(J14="Completed",H14*I14,IF(J14="Refund",H14*I14,0))</f>
        <v/>
      </c>
      <c r="L14" s="2" t="n">
        <v>15</v>
      </c>
    </row>
    <row r="15">
      <c r="A15" s="2">
        <f>Raw!A16</f>
        <v/>
      </c>
      <c r="B15" s="2" t="inlineStr">
        <is>
          <t>2026-07-08</t>
        </is>
      </c>
      <c r="C15" s="2">
        <f>Raw!C16</f>
        <v/>
      </c>
      <c r="D15" s="2">
        <f>IF(TRIM(C15)="","Unknown",UPPER(LEFT(TRIM(C15),1))&amp;LOWER(MID(TRIM(C15),2,99)))</f>
        <v/>
      </c>
      <c r="E15" s="2">
        <f>Raw!D16</f>
        <v/>
      </c>
      <c r="F15" s="2">
        <f>IFS(OR(E15="A. Chen",E15="A Chen",E15="Alex Chen"),"Alex Chen",OR(E15="Nina K.",E15="Nina Ko"),"Nina Ko",TRUE,E15)</f>
        <v/>
      </c>
      <c r="G15" s="2">
        <f>Raw!E16</f>
        <v/>
      </c>
      <c r="H15" s="2">
        <f>Raw!F16</f>
        <v/>
      </c>
      <c r="I15" s="2">
        <f>Raw!G16</f>
        <v/>
      </c>
      <c r="J15" s="2">
        <f>Raw!H16</f>
        <v/>
      </c>
      <c r="K15" s="3">
        <f>IF(J15="Completed",H15*I15,IF(J15="Refund",H15*I15,0))</f>
        <v/>
      </c>
      <c r="L15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Net_Revenue</t>
        </is>
      </c>
      <c r="E1" t="inlineStr">
        <is>
          <t>Check_Clean_Rows</t>
        </is>
      </c>
      <c r="F1">
        <f>COUNTA(Clean!A2:A15)</f>
        <v/>
      </c>
    </row>
    <row r="2">
      <c r="A2" t="inlineStr">
        <is>
          <t>East</t>
        </is>
      </c>
      <c r="B2">
        <f>COUNTIF(Clean!D:D,A2)</f>
        <v/>
      </c>
      <c r="C2" s="4">
        <f>SUMIF(Clean!D:D,A2,Clean!K:K)</f>
        <v/>
      </c>
      <c r="E2" t="inlineStr">
        <is>
          <t>Check_Net_vs_Clean</t>
        </is>
      </c>
      <c r="F2">
        <f>C7-SUM(Clean!K2:K15)</f>
        <v/>
      </c>
    </row>
    <row r="3">
      <c r="A3" t="inlineStr">
        <is>
          <t>North</t>
        </is>
      </c>
      <c r="B3">
        <f>COUNTIF(Clean!D:D,A3)</f>
        <v/>
      </c>
      <c r="C3" s="4">
        <f>SUMIF(Clean!D:D,A3,Clean!K:K)</f>
        <v/>
      </c>
      <c r="E3" t="inlineStr">
        <is>
          <t>Expected_Net</t>
        </is>
      </c>
      <c r="F3" t="n">
        <v>9180</v>
      </c>
    </row>
    <row r="4">
      <c r="A4" t="inlineStr">
        <is>
          <t>South</t>
        </is>
      </c>
      <c r="B4">
        <f>COUNTIF(Clean!D:D,A4)</f>
        <v/>
      </c>
      <c r="C4" s="4">
        <f>SUMIF(Clean!D:D,A4,Clean!K:K)</f>
        <v/>
      </c>
      <c r="E4" t="inlineStr">
        <is>
          <t>Match</t>
        </is>
      </c>
      <c r="F4">
        <f>IF(AND(F1=14,F2=0,C7=F3),"OK","CHECK")</f>
        <v/>
      </c>
    </row>
    <row r="5">
      <c r="A5" t="inlineStr">
        <is>
          <t>West</t>
        </is>
      </c>
      <c r="B5">
        <f>COUNTIF(Clean!D:D,A5)</f>
        <v/>
      </c>
      <c r="C5" s="4">
        <f>SUMIF(Clean!D:D,A5,Clean!K:K)</f>
        <v/>
      </c>
    </row>
    <row r="6">
      <c r="A6" t="inlineStr">
        <is>
          <t>Unknown</t>
        </is>
      </c>
      <c r="B6">
        <f>COUNTIF(Clean!D:D,A6)</f>
        <v/>
      </c>
      <c r="C6" s="4">
        <f>SUMIF(Clean!D:D,A6,Clean!K:K)</f>
        <v/>
      </c>
    </row>
    <row r="7">
      <c r="A7" s="5" t="inlineStr">
        <is>
          <t>Total</t>
        </is>
      </c>
      <c r="B7">
        <f>SUM(B2:B6)</f>
        <v/>
      </c>
      <c r="C7" s="4">
        <f>SUM(C2:C6)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6" customWidth="1" min="4" max="4"/>
    <col width="36" customWidth="1" min="5" max="5"/>
    <col width="18" customWidth="1" min="6" max="6"/>
  </cols>
  <sheetData>
    <row r="1">
      <c r="A1" s="1" t="inlineStr">
        <is>
          <t>Issue</t>
        </is>
      </c>
      <c r="B1" s="1" t="inlineStr">
        <is>
          <t>Order_ID</t>
        </is>
      </c>
      <c r="C1" s="1" t="inlineStr">
        <is>
          <t>Field</t>
        </is>
      </c>
      <c r="D1" s="1" t="inlineStr">
        <is>
          <t>Raw_Value</t>
        </is>
      </c>
      <c r="E1" s="1" t="inlineStr">
        <is>
          <t>Action</t>
        </is>
      </c>
      <c r="F1" s="1" t="inlineStr">
        <is>
          <t>Formula_Flag</t>
        </is>
      </c>
    </row>
    <row r="2">
      <c r="A2" t="inlineStr">
        <is>
          <t>Missing Region</t>
        </is>
      </c>
      <c r="B2">
        <f>Clean!A10</f>
        <v/>
      </c>
      <c r="C2" t="inlineStr">
        <is>
          <t>Region</t>
        </is>
      </c>
      <c r="D2" t="inlineStr">
        <is>
          <t>(blank)</t>
        </is>
      </c>
      <c r="E2" t="inlineStr">
        <is>
          <t>Coded Unknown; sales must complete</t>
        </is>
      </c>
      <c r="F2">
        <f>COUNTIF(Clean!D:D,"Unknown")</f>
        <v/>
      </c>
    </row>
    <row r="3">
      <c r="A3" t="inlineStr">
        <is>
          <t>Duplicate dropped</t>
        </is>
      </c>
      <c r="B3" t="n">
        <v>1007</v>
      </c>
      <c r="C3" t="inlineStr">
        <is>
          <t>entire row</t>
        </is>
      </c>
      <c r="D3" t="inlineStr">
        <is>
          <t>identical second row (Raw row 9)</t>
        </is>
      </c>
      <c r="E3" t="inlineStr">
        <is>
          <t>Keep one</t>
        </is>
      </c>
      <c r="F3">
        <f>COUNTIF(Raw!A:A,1007)</f>
        <v/>
      </c>
    </row>
    <row r="5">
      <c r="A5" t="inlineStr">
        <is>
          <t>Refund rows are not exceptions; negative units follow the net-revenue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